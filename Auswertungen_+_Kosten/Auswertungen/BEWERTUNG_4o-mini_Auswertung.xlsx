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ewertung" sheetId="1" state="visible" r:id="rId3"/>
    <sheet name="Dashboar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<sst xmlns="http://schemas.openxmlformats.org/spreadsheetml/2006/main" count="46" uniqueCount="39">
  <si>
    <t xml:space="preserve">BILDER</t>
  </si>
  <si>
    <t xml:space="preserve">INHALTL. GENAUIGKEIT</t>
  </si>
  <si>
    <t xml:space="preserve">HALLUZINATIONEN</t>
  </si>
  <si>
    <t xml:space="preserve">DETAILTIEFE</t>
  </si>
  <si>
    <t xml:space="preserve">ROBUSTHEIT</t>
  </si>
  <si>
    <t xml:space="preserve">KONSISTENZ</t>
  </si>
  <si>
    <t xml:space="preserve">Kommentar / Kosten später</t>
  </si>
  <si>
    <t xml:space="preserve">Summe Kernkriterien</t>
  </si>
  <si>
    <t xml:space="preserve">Ø Kernkriterien</t>
  </si>
  <si>
    <t xml:space="preserve">Summe inkl. Konsistenz</t>
  </si>
  <si>
    <t xml:space="preserve">Ø inkl. Konsistenz</t>
  </si>
  <si>
    <t xml:space="preserve">Rang Kern</t>
  </si>
  <si>
    <t xml:space="preserve">schafft es besser die location der kamera zu erkennen als 4o</t>
  </si>
  <si>
    <t xml:space="preserve">begriffe für landwirtschaftliche geräte weniger gut</t>
  </si>
  <si>
    <t xml:space="preserve">regentropfen nicht erkannt</t>
  </si>
  <si>
    <t xml:space="preserve">hier regentropfen wieder erkannt</t>
  </si>
  <si>
    <t xml:space="preserve">cultivator erkannt- glaube 4o konnte das nicht</t>
  </si>
  <si>
    <t xml:space="preserve">feeding mixer erkannt im vergleich zu 4o</t>
  </si>
  <si>
    <t xml:space="preserve">SUMME</t>
  </si>
  <si>
    <t xml:space="preserve">AVERAGE</t>
  </si>
  <si>
    <t xml:space="preserve">ANZAHL</t>
  </si>
  <si>
    <t xml:space="preserve">Dashboard – Bewertung 4o-mini</t>
  </si>
  <si>
    <t xml:space="preserve">Kennzahl</t>
  </si>
  <si>
    <t xml:space="preserve">Wert</t>
  </si>
  <si>
    <t xml:space="preserve">Anzahl Bilder</t>
  </si>
  <si>
    <t xml:space="preserve">Bewertete Konsistenzwerte</t>
  </si>
  <si>
    <t xml:space="preserve">Kriterium</t>
  </si>
  <si>
    <t xml:space="preserve">Anzahl</t>
  </si>
  <si>
    <t xml:space="preserve">Summe</t>
  </si>
  <si>
    <t xml:space="preserve">Durchschnitt</t>
  </si>
  <si>
    <t xml:space="preserve">Inhaltliche Genauigkeit</t>
  </si>
  <si>
    <t xml:space="preserve">Halluzinationen</t>
  </si>
  <si>
    <t xml:space="preserve">Detailtiefe</t>
  </si>
  <si>
    <t xml:space="preserve">Robustheit</t>
  </si>
  <si>
    <t xml:space="preserve">Konsistenz</t>
  </si>
  <si>
    <t xml:space="preserve">Top 10 Bilder nach Ø Kernkriterien</t>
  </si>
  <si>
    <t xml:space="preserve">Bild</t>
  </si>
  <si>
    <t xml:space="preserve">Inhaltl. Genauigkeit</t>
  </si>
  <si>
    <t xml:space="preserve">Ø Kern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</si>
</sst>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56082"/>
      </patternFill>
    </fill>
    <fill>
      <patternFill patternType="solid">
        <fgColor rgb="FFFFF2CC"/>
        <bgColor rgb="FFFFFFFF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6D5CC"/>
          <bgColor rgb="FF000000"/>
        </patternFill>
      </fill>
    </dxf>
    <dxf>
      <fill>
        <patternFill patternType="solid">
          <fgColor rgb="FFF9DFCC"/>
          <bgColor rgb="FF000000"/>
        </patternFill>
      </fill>
    </dxf>
    <dxf>
      <fill>
        <patternFill patternType="solid">
          <fgColor rgb="FFFCE8C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CCCCCC"/>
      <rgbColor rgb="FF8B8B8B"/>
      <rgbColor rgb="FF9999FF"/>
      <rgbColor rgb="FFA02B93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"Durchschnitt"</c:f>
              <c:strCache>
                <c:ptCount val="1"/>
                <c:pt idx="0">
                  <c:v>Durchschnitt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Dashboard!$A$10:$A$14</c:f>
              <c:strCache>
                <c:ptCount val="5"/>
                <c:pt idx="0">
                  <c:v>Inhaltliche Genauigkeit</c:v>
                </c:pt>
                <c:pt idx="1">
                  <c:v>Halluzinationen</c:v>
                </c:pt>
                <c:pt idx="2">
                  <c:v>Detailtiefe</c:v>
                </c:pt>
                <c:pt idx="3">
                  <c:v>Robustheit</c:v>
                </c:pt>
                <c:pt idx="4">
                  <c:v>Konsistenz</c:v>
                </c:pt>
              </c:strCache>
            </c:strRef>
          </c:cat>
          <c:val>
            <c:numRef>
              <c:f>Dashboard!$D$10:$D$14</c:f>
              <c:numCache>
                <c:formatCode>0.00</c:formatCode>
                <c:ptCount val="5"/>
                <c:pt idx="0">
                  <c:v>3.28571428571429</c:v>
                </c:pt>
                <c:pt idx="1">
                  <c:v>3.58441558441558</c:v>
                </c:pt>
                <c:pt idx="2">
                  <c:v>3.44155844155844</c:v>
                </c:pt>
                <c:pt idx="3">
                  <c:v>4.79220779220779</c:v>
                </c:pt>
                <c:pt idx="4">
                  <c:v>3.27272727272727</c:v>
                </c:pt>
              </c:numCache>
            </c:numRef>
          </c:val>
        </c:ser>
        <c:gapWidth val="150"/>
        <c:overlap val="0"/>
        <c:axId val="7411543"/>
        <c:axId val="26840515"/>
      </c:barChart>
      <c:catAx>
        <c:axId val="7411543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26840515"/>
        <c:crosses val="autoZero"/>
        <c:auto val="1"/>
        <c:lblAlgn val="ctr"/>
        <c:lblOffset val="100"/>
        <c:noMultiLvlLbl val="0"/>
      </c:catAx>
      <c:valAx>
        <c:axId val="2684051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41154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"Summe"</c:f>
              <c:strCache>
                <c:ptCount val="1"/>
                <c:pt idx="0">
                  <c:v>Summe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Dashboard!$A$10:$A$14</c:f>
              <c:strCache>
                <c:ptCount val="5"/>
                <c:pt idx="0">
                  <c:v>Inhaltliche Genauigkeit</c:v>
                </c:pt>
                <c:pt idx="1">
                  <c:v>Halluzinationen</c:v>
                </c:pt>
                <c:pt idx="2">
                  <c:v>Detailtiefe</c:v>
                </c:pt>
                <c:pt idx="3">
                  <c:v>Robustheit</c:v>
                </c:pt>
                <c:pt idx="4">
                  <c:v>Konsistenz</c:v>
                </c:pt>
              </c:strCache>
            </c:strRef>
          </c:cat>
          <c:val>
            <c:numRef>
              <c:f>Dashboard!$C$10:$C$14</c:f>
              <c:numCache>
                <c:formatCode>0</c:formatCode>
                <c:ptCount val="5"/>
                <c:pt idx="0">
                  <c:v>253</c:v>
                </c:pt>
                <c:pt idx="1">
                  <c:v>276</c:v>
                </c:pt>
                <c:pt idx="2">
                  <c:v>265</c:v>
                </c:pt>
                <c:pt idx="3">
                  <c:v>369</c:v>
                </c:pt>
                <c:pt idx="4">
                  <c:v>72</c:v>
                </c:pt>
              </c:numCache>
            </c:numRef>
          </c:val>
        </c:ser>
        <c:gapWidth val="150"/>
        <c:overlap val="0"/>
        <c:axId val="14645782"/>
        <c:axId val="90555996"/>
      </c:barChart>
      <c:catAx>
        <c:axId val="1464578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90555996"/>
        <c:crosses val="autoZero"/>
        <c:auto val="1"/>
        <c:lblAlgn val="ctr"/>
        <c:lblOffset val="100"/>
        <c:noMultiLvlLbl val="0"/>
      </c:catAx>
      <c:valAx>
        <c:axId val="90555996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464578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"Inhaltl. Genauigkeit"</c:f>
              <c:strCache>
                <c:ptCount val="1"/>
                <c:pt idx="0">
                  <c:v>Inhaltl. Genauigkeit</c:v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Dashboard!$A$54:$A$130</c:f>
              <c:strCache>
                <c:ptCount val="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</c:strCache>
            </c:strRef>
          </c:cat>
          <c:val>
            <c:numRef>
              <c:f>Dashboard!$B$54:$B$130</c:f>
              <c:numCache>
                <c:formatCode>0.00</c:formatCode>
                <c:ptCount val="77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5</c:v>
                </c:pt>
                <c:pt idx="17">
                  <c:v>3</c:v>
                </c:pt>
                <c:pt idx="18">
                  <c:v>2</c:v>
                </c:pt>
                <c:pt idx="19">
                  <c:v>3</c:v>
                </c:pt>
                <c:pt idx="20">
                  <c:v>5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1</c:v>
                </c:pt>
                <c:pt idx="29">
                  <c:v>4</c:v>
                </c:pt>
                <c:pt idx="30">
                  <c:v>3</c:v>
                </c:pt>
                <c:pt idx="31">
                  <c:v>3</c:v>
                </c:pt>
                <c:pt idx="32">
                  <c:v>2</c:v>
                </c:pt>
                <c:pt idx="33">
                  <c:v>5</c:v>
                </c:pt>
                <c:pt idx="34">
                  <c:v>5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5</c:v>
                </c:pt>
                <c:pt idx="39">
                  <c:v>3</c:v>
                </c:pt>
                <c:pt idx="40">
                  <c:v>3</c:v>
                </c:pt>
                <c:pt idx="41">
                  <c:v>5</c:v>
                </c:pt>
                <c:pt idx="42">
                  <c:v>3</c:v>
                </c:pt>
                <c:pt idx="43">
                  <c:v>4</c:v>
                </c:pt>
                <c:pt idx="44">
                  <c:v>4</c:v>
                </c:pt>
                <c:pt idx="45">
                  <c:v>1</c:v>
                </c:pt>
                <c:pt idx="46">
                  <c:v>4</c:v>
                </c:pt>
                <c:pt idx="47">
                  <c:v>5</c:v>
                </c:pt>
                <c:pt idx="48">
                  <c:v>5</c:v>
                </c:pt>
                <c:pt idx="49">
                  <c:v>2</c:v>
                </c:pt>
                <c:pt idx="50">
                  <c:v>2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5</c:v>
                </c:pt>
                <c:pt idx="55">
                  <c:v>5</c:v>
                </c:pt>
                <c:pt idx="56">
                  <c:v>3</c:v>
                </c:pt>
                <c:pt idx="57">
                  <c:v>2</c:v>
                </c:pt>
                <c:pt idx="58">
                  <c:v>5</c:v>
                </c:pt>
                <c:pt idx="59">
                  <c:v>3</c:v>
                </c:pt>
                <c:pt idx="60">
                  <c:v>3</c:v>
                </c:pt>
                <c:pt idx="61">
                  <c:v>4</c:v>
                </c:pt>
                <c:pt idx="62">
                  <c:v>5</c:v>
                </c:pt>
                <c:pt idx="63">
                  <c:v>3</c:v>
                </c:pt>
                <c:pt idx="64">
                  <c:v>2</c:v>
                </c:pt>
                <c:pt idx="65">
                  <c:v>5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5</c:v>
                </c:pt>
                <c:pt idx="70">
                  <c:v>2</c:v>
                </c:pt>
                <c:pt idx="71">
                  <c:v>4</c:v>
                </c:pt>
                <c:pt idx="72">
                  <c:v>3</c:v>
                </c:pt>
                <c:pt idx="73">
                  <c:v>1</c:v>
                </c:pt>
                <c:pt idx="74">
                  <c:v>0</c:v>
                </c:pt>
                <c:pt idx="75">
                  <c:v>3</c:v>
                </c:pt>
                <c:pt idx="76">
                  <c:v>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"Halluzinationen"</c:f>
              <c:strCache>
                <c:ptCount val="1"/>
                <c:pt idx="0">
                  <c:v>Halluzinationen</c:v>
                </c:pt>
              </c:strCache>
            </c:strRef>
          </c:tx>
          <c:spPr>
            <a:solidFill>
              <a:srgbClr val="e97132"/>
            </a:solidFill>
            <a:ln w="38160">
              <a:solidFill>
                <a:srgbClr val="e97132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Dashboard!$A$54:$A$130</c:f>
              <c:strCache>
                <c:ptCount val="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</c:strCache>
            </c:strRef>
          </c:cat>
          <c:val>
            <c:numRef>
              <c:f>Dashboard!$C$54:$C$130</c:f>
              <c:numCache>
                <c:formatCode>0.00</c:formatCode>
                <c:ptCount val="77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5</c:v>
                </c:pt>
                <c:pt idx="17">
                  <c:v>3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3</c:v>
                </c:pt>
                <c:pt idx="22">
                  <c:v>4</c:v>
                </c:pt>
                <c:pt idx="23">
                  <c:v>3</c:v>
                </c:pt>
                <c:pt idx="24">
                  <c:v>4</c:v>
                </c:pt>
                <c:pt idx="25">
                  <c:v>3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4</c:v>
                </c:pt>
                <c:pt idx="30">
                  <c:v>3</c:v>
                </c:pt>
                <c:pt idx="31">
                  <c:v>3</c:v>
                </c:pt>
                <c:pt idx="32">
                  <c:v>2</c:v>
                </c:pt>
                <c:pt idx="33">
                  <c:v>5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3</c:v>
                </c:pt>
                <c:pt idx="40">
                  <c:v>3</c:v>
                </c:pt>
                <c:pt idx="41">
                  <c:v>5</c:v>
                </c:pt>
                <c:pt idx="42">
                  <c:v>3</c:v>
                </c:pt>
                <c:pt idx="43">
                  <c:v>4</c:v>
                </c:pt>
                <c:pt idx="44">
                  <c:v>5</c:v>
                </c:pt>
                <c:pt idx="45">
                  <c:v>2</c:v>
                </c:pt>
                <c:pt idx="46">
                  <c:v>5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1</c:v>
                </c:pt>
                <c:pt idx="51">
                  <c:v>3</c:v>
                </c:pt>
                <c:pt idx="52">
                  <c:v>1</c:v>
                </c:pt>
                <c:pt idx="53">
                  <c:v>4</c:v>
                </c:pt>
                <c:pt idx="54">
                  <c:v>5</c:v>
                </c:pt>
                <c:pt idx="55">
                  <c:v>5</c:v>
                </c:pt>
                <c:pt idx="56">
                  <c:v>3</c:v>
                </c:pt>
                <c:pt idx="57">
                  <c:v>3</c:v>
                </c:pt>
                <c:pt idx="58">
                  <c:v>5</c:v>
                </c:pt>
                <c:pt idx="59">
                  <c:v>4</c:v>
                </c:pt>
                <c:pt idx="60">
                  <c:v>3</c:v>
                </c:pt>
                <c:pt idx="61">
                  <c:v>5</c:v>
                </c:pt>
                <c:pt idx="62">
                  <c:v>5</c:v>
                </c:pt>
                <c:pt idx="63">
                  <c:v>4</c:v>
                </c:pt>
                <c:pt idx="64">
                  <c:v>3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5</c:v>
                </c:pt>
                <c:pt idx="69">
                  <c:v>4</c:v>
                </c:pt>
                <c:pt idx="70">
                  <c:v>2</c:v>
                </c:pt>
                <c:pt idx="71">
                  <c:v>5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"Detailtiefe"</c:f>
              <c:strCache>
                <c:ptCount val="1"/>
                <c:pt idx="0">
                  <c:v>Detailtiefe</c:v>
                </c:pt>
              </c:strCache>
            </c:strRef>
          </c:tx>
          <c:spPr>
            <a:solidFill>
              <a:srgbClr val="196b24"/>
            </a:solidFill>
            <a:ln w="38160">
              <a:solidFill>
                <a:srgbClr val="196b24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Dashboard!$A$54:$A$130</c:f>
              <c:strCache>
                <c:ptCount val="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</c:strCache>
            </c:strRef>
          </c:cat>
          <c:val>
            <c:numRef>
              <c:f>Dashboard!$D$54:$D$130</c:f>
              <c:numCache>
                <c:formatCode>0.00</c:formatCode>
                <c:ptCount val="77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4</c:v>
                </c:pt>
                <c:pt idx="14">
                  <c:v>2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0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5</c:v>
                </c:pt>
                <c:pt idx="24">
                  <c:v>4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4</c:v>
                </c:pt>
                <c:pt idx="29">
                  <c:v>3</c:v>
                </c:pt>
                <c:pt idx="30">
                  <c:v>3</c:v>
                </c:pt>
                <c:pt idx="31">
                  <c:v>5</c:v>
                </c:pt>
                <c:pt idx="32">
                  <c:v>5</c:v>
                </c:pt>
                <c:pt idx="33">
                  <c:v>3</c:v>
                </c:pt>
                <c:pt idx="34">
                  <c:v>3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5</c:v>
                </c:pt>
                <c:pt idx="40">
                  <c:v>5</c:v>
                </c:pt>
                <c:pt idx="41">
                  <c:v>3</c:v>
                </c:pt>
                <c:pt idx="42">
                  <c:v>3</c:v>
                </c:pt>
                <c:pt idx="43">
                  <c:v>1</c:v>
                </c:pt>
                <c:pt idx="44">
                  <c:v>5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3</c:v>
                </c:pt>
                <c:pt idx="49">
                  <c:v>3</c:v>
                </c:pt>
                <c:pt idx="50">
                  <c:v>4</c:v>
                </c:pt>
                <c:pt idx="51">
                  <c:v>5</c:v>
                </c:pt>
                <c:pt idx="52">
                  <c:v>3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4</c:v>
                </c:pt>
                <c:pt idx="57">
                  <c:v>3</c:v>
                </c:pt>
                <c:pt idx="58">
                  <c:v>3</c:v>
                </c:pt>
                <c:pt idx="59">
                  <c:v>4</c:v>
                </c:pt>
                <c:pt idx="60">
                  <c:v>2</c:v>
                </c:pt>
                <c:pt idx="61">
                  <c:v>2</c:v>
                </c:pt>
                <c:pt idx="62">
                  <c:v>3</c:v>
                </c:pt>
                <c:pt idx="63">
                  <c:v>5</c:v>
                </c:pt>
                <c:pt idx="64">
                  <c:v>5</c:v>
                </c:pt>
                <c:pt idx="65">
                  <c:v>4</c:v>
                </c:pt>
                <c:pt idx="66">
                  <c:v>5</c:v>
                </c:pt>
                <c:pt idx="67">
                  <c:v>4</c:v>
                </c:pt>
                <c:pt idx="68">
                  <c:v>4</c:v>
                </c:pt>
                <c:pt idx="69">
                  <c:v>5</c:v>
                </c:pt>
                <c:pt idx="70">
                  <c:v>2</c:v>
                </c:pt>
                <c:pt idx="71">
                  <c:v>3</c:v>
                </c:pt>
                <c:pt idx="72">
                  <c:v>5</c:v>
                </c:pt>
                <c:pt idx="73">
                  <c:v>2</c:v>
                </c:pt>
                <c:pt idx="74">
                  <c:v>4</c:v>
                </c:pt>
                <c:pt idx="75">
                  <c:v>3</c:v>
                </c:pt>
                <c:pt idx="76">
                  <c:v>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"Robustheit"</c:f>
              <c:strCache>
                <c:ptCount val="1"/>
                <c:pt idx="0">
                  <c:v>Robustheit</c:v>
                </c:pt>
              </c:strCache>
            </c:strRef>
          </c:tx>
          <c:spPr>
            <a:solidFill>
              <a:srgbClr val="0f9ed5"/>
            </a:solidFill>
            <a:ln w="38160">
              <a:solidFill>
                <a:srgbClr val="0f9ed5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Dashboard!$A$54:$A$130</c:f>
              <c:strCache>
                <c:ptCount val="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</c:strCache>
            </c:strRef>
          </c:cat>
          <c:val>
            <c:numRef>
              <c:f>Dashboard!$E$54:$E$130</c:f>
              <c:numCache>
                <c:formatCode>0.00</c:formatCode>
                <c:ptCount val="7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4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4</c:v>
                </c:pt>
                <c:pt idx="23">
                  <c:v>5</c:v>
                </c:pt>
                <c:pt idx="24">
                  <c:v>5</c:v>
                </c:pt>
                <c:pt idx="25">
                  <c:v>4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4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4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4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4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4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4</c:v>
                </c:pt>
                <c:pt idx="71">
                  <c:v>5</c:v>
                </c:pt>
                <c:pt idx="72">
                  <c:v>5</c:v>
                </c:pt>
                <c:pt idx="73">
                  <c:v>4</c:v>
                </c:pt>
                <c:pt idx="74">
                  <c:v>5</c:v>
                </c:pt>
                <c:pt idx="75">
                  <c:v>4</c:v>
                </c:pt>
                <c:pt idx="76">
                  <c:v>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"Ø Kern"</c:f>
              <c:strCache>
                <c:ptCount val="1"/>
                <c:pt idx="0">
                  <c:v>Ø Kern</c:v>
                </c:pt>
              </c:strCache>
            </c:strRef>
          </c:tx>
          <c:spPr>
            <a:solidFill>
              <a:srgbClr val="a02b93"/>
            </a:solidFill>
            <a:ln w="38160">
              <a:solidFill>
                <a:srgbClr val="a02b93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Dashboard!$A$54:$A$130</c:f>
              <c:strCache>
                <c:ptCount val="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</c:strCache>
            </c:strRef>
          </c:cat>
          <c:val>
            <c:numRef>
              <c:f>Dashboard!$F$54:$F$130</c:f>
              <c:numCache>
                <c:formatCode>0.00</c:formatCode>
                <c:ptCount val="77"/>
                <c:pt idx="0">
                  <c:v>4.25</c:v>
                </c:pt>
                <c:pt idx="1">
                  <c:v>4</c:v>
                </c:pt>
                <c:pt idx="2">
                  <c:v>3.5</c:v>
                </c:pt>
                <c:pt idx="3">
                  <c:v>3.75</c:v>
                </c:pt>
                <c:pt idx="4">
                  <c:v>3.5</c:v>
                </c:pt>
                <c:pt idx="5">
                  <c:v>3</c:v>
                </c:pt>
                <c:pt idx="6">
                  <c:v>3</c:v>
                </c:pt>
                <c:pt idx="7">
                  <c:v>3.25</c:v>
                </c:pt>
                <c:pt idx="8">
                  <c:v>4</c:v>
                </c:pt>
                <c:pt idx="9">
                  <c:v>3.25</c:v>
                </c:pt>
                <c:pt idx="10">
                  <c:v>3.5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3.75</c:v>
                </c:pt>
                <c:pt idx="16">
                  <c:v>4.75</c:v>
                </c:pt>
                <c:pt idx="17">
                  <c:v>3.5</c:v>
                </c:pt>
                <c:pt idx="18">
                  <c:v>2.5</c:v>
                </c:pt>
                <c:pt idx="19">
                  <c:v>4</c:v>
                </c:pt>
                <c:pt idx="20">
                  <c:v>4.75</c:v>
                </c:pt>
                <c:pt idx="21">
                  <c:v>3.25</c:v>
                </c:pt>
                <c:pt idx="22">
                  <c:v>3</c:v>
                </c:pt>
                <c:pt idx="23">
                  <c:v>3.75</c:v>
                </c:pt>
                <c:pt idx="24">
                  <c:v>4.25</c:v>
                </c:pt>
                <c:pt idx="25">
                  <c:v>4</c:v>
                </c:pt>
                <c:pt idx="26">
                  <c:v>4.25</c:v>
                </c:pt>
                <c:pt idx="27">
                  <c:v>4</c:v>
                </c:pt>
                <c:pt idx="28">
                  <c:v>3.75</c:v>
                </c:pt>
                <c:pt idx="29">
                  <c:v>3.75</c:v>
                </c:pt>
                <c:pt idx="30">
                  <c:v>3.5</c:v>
                </c:pt>
                <c:pt idx="31">
                  <c:v>4</c:v>
                </c:pt>
                <c:pt idx="32">
                  <c:v>3.25</c:v>
                </c:pt>
                <c:pt idx="33">
                  <c:v>4</c:v>
                </c:pt>
                <c:pt idx="34">
                  <c:v>4</c:v>
                </c:pt>
                <c:pt idx="35">
                  <c:v>3.75</c:v>
                </c:pt>
                <c:pt idx="36">
                  <c:v>3.75</c:v>
                </c:pt>
                <c:pt idx="37">
                  <c:v>4</c:v>
                </c:pt>
                <c:pt idx="38">
                  <c:v>4.5</c:v>
                </c:pt>
                <c:pt idx="39">
                  <c:v>4</c:v>
                </c:pt>
                <c:pt idx="40">
                  <c:v>3.75</c:v>
                </c:pt>
                <c:pt idx="41">
                  <c:v>4.5</c:v>
                </c:pt>
                <c:pt idx="42">
                  <c:v>3.5</c:v>
                </c:pt>
                <c:pt idx="43">
                  <c:v>3.5</c:v>
                </c:pt>
                <c:pt idx="44">
                  <c:v>4.75</c:v>
                </c:pt>
                <c:pt idx="45">
                  <c:v>2.75</c:v>
                </c:pt>
                <c:pt idx="46">
                  <c:v>4</c:v>
                </c:pt>
                <c:pt idx="47">
                  <c:v>4</c:v>
                </c:pt>
                <c:pt idx="48">
                  <c:v>4.25</c:v>
                </c:pt>
                <c:pt idx="49">
                  <c:v>3.5</c:v>
                </c:pt>
                <c:pt idx="50">
                  <c:v>3</c:v>
                </c:pt>
                <c:pt idx="51">
                  <c:v>4</c:v>
                </c:pt>
                <c:pt idx="52">
                  <c:v>3</c:v>
                </c:pt>
                <c:pt idx="53">
                  <c:v>3.25</c:v>
                </c:pt>
                <c:pt idx="54">
                  <c:v>4.25</c:v>
                </c:pt>
                <c:pt idx="55">
                  <c:v>4.25</c:v>
                </c:pt>
                <c:pt idx="56">
                  <c:v>3.75</c:v>
                </c:pt>
                <c:pt idx="57">
                  <c:v>3.25</c:v>
                </c:pt>
                <c:pt idx="58">
                  <c:v>4.25</c:v>
                </c:pt>
                <c:pt idx="59">
                  <c:v>4</c:v>
                </c:pt>
                <c:pt idx="60">
                  <c:v>3.25</c:v>
                </c:pt>
                <c:pt idx="61">
                  <c:v>4</c:v>
                </c:pt>
                <c:pt idx="62">
                  <c:v>4.5</c:v>
                </c:pt>
                <c:pt idx="63">
                  <c:v>4.25</c:v>
                </c:pt>
                <c:pt idx="64">
                  <c:v>3.75</c:v>
                </c:pt>
                <c:pt idx="65">
                  <c:v>4.5</c:v>
                </c:pt>
                <c:pt idx="66">
                  <c:v>4.25</c:v>
                </c:pt>
                <c:pt idx="67">
                  <c:v>4.25</c:v>
                </c:pt>
                <c:pt idx="68">
                  <c:v>4.75</c:v>
                </c:pt>
                <c:pt idx="69">
                  <c:v>4.75</c:v>
                </c:pt>
                <c:pt idx="70">
                  <c:v>2.5</c:v>
                </c:pt>
                <c:pt idx="71">
                  <c:v>4.25</c:v>
                </c:pt>
                <c:pt idx="72">
                  <c:v>4</c:v>
                </c:pt>
                <c:pt idx="73">
                  <c:v>2.5</c:v>
                </c:pt>
                <c:pt idx="74">
                  <c:v>3</c:v>
                </c:pt>
                <c:pt idx="75">
                  <c:v>3.25</c:v>
                </c:pt>
                <c:pt idx="76">
                  <c:v>3.5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8978579"/>
        <c:axId val="56323209"/>
      </c:lineChart>
      <c:catAx>
        <c:axId val="48978579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56323209"/>
        <c:crosses val="autoZero"/>
        <c:auto val="1"/>
        <c:lblAlgn val="ctr"/>
        <c:lblOffset val="100"/>
        <c:noMultiLvlLbl val="0"/>
      </c:catAx>
      <c:valAx>
        <c:axId val="5632320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897857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"Ø Kern"</c:f>
              <c:strCache>
                <c:ptCount val="1"/>
                <c:pt idx="0">
                  <c:v>Ø Kern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Dashboard!$A$41:$A$50</c:f>
              <c:strCache>
                <c:ptCount val="10"/>
                <c:pt idx="0">
                  <c:v>17</c:v>
                </c:pt>
                <c:pt idx="1">
                  <c:v>21</c:v>
                </c:pt>
                <c:pt idx="2">
                  <c:v>45</c:v>
                </c:pt>
                <c:pt idx="3">
                  <c:v>69</c:v>
                </c:pt>
                <c:pt idx="4">
                  <c:v>70</c:v>
                </c:pt>
                <c:pt idx="5">
                  <c:v>39</c:v>
                </c:pt>
                <c:pt idx="6">
                  <c:v>42</c:v>
                </c:pt>
                <c:pt idx="7">
                  <c:v>63</c:v>
                </c:pt>
                <c:pt idx="8">
                  <c:v>66</c:v>
                </c:pt>
                <c:pt idx="9">
                  <c:v>1</c:v>
                </c:pt>
              </c:strCache>
            </c:strRef>
          </c:cat>
          <c:val>
            <c:numRef>
              <c:f>Dashboard!$B$41:$B$50</c:f>
              <c:numCache>
                <c:formatCode>0.00</c:formatCode>
                <c:ptCount val="10"/>
                <c:pt idx="0">
                  <c:v>4.75</c:v>
                </c:pt>
                <c:pt idx="1">
                  <c:v>4.75</c:v>
                </c:pt>
                <c:pt idx="2">
                  <c:v>4.75</c:v>
                </c:pt>
                <c:pt idx="3">
                  <c:v>4.75</c:v>
                </c:pt>
                <c:pt idx="4">
                  <c:v>4.75</c:v>
                </c:pt>
                <c:pt idx="5">
                  <c:v>4.5</c:v>
                </c:pt>
                <c:pt idx="6">
                  <c:v>4.5</c:v>
                </c:pt>
                <c:pt idx="7">
                  <c:v>4.5</c:v>
                </c:pt>
                <c:pt idx="8">
                  <c:v>4.5</c:v>
                </c:pt>
                <c:pt idx="9">
                  <c:v>4.25</c:v>
                </c:pt>
              </c:numCache>
            </c:numRef>
          </c:val>
        </c:ser>
        <c:gapWidth val="150"/>
        <c:overlap val="0"/>
        <c:axId val="1395962"/>
        <c:axId val="3561233"/>
      </c:barChart>
      <c:catAx>
        <c:axId val="139596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561233"/>
        <c:crosses val="autoZero"/>
        <c:auto val="1"/>
        <c:lblAlgn val="ctr"/>
        <c:lblOffset val="100"/>
        <c:noMultiLvlLbl val="0"/>
      </c:catAx>
      <c:valAx>
        <c:axId val="356123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39596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12</xdr:col>
      <xdr:colOff>986400</xdr:colOff>
      <xdr:row>17</xdr:row>
      <xdr:rowOff>190440</xdr:rowOff>
    </xdr:to>
    <xdr:graphicFrame>
      <xdr:nvGraphicFramePr>
        <xdr:cNvPr id="1" name="Chart"/>
        <xdr:cNvGraphicFramePr/>
      </xdr:nvGraphicFramePr>
      <xdr:xfrm>
        <a:off x="5145480" y="546120"/>
        <a:ext cx="789372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20</xdr:row>
      <xdr:rowOff>0</xdr:rowOff>
    </xdr:from>
    <xdr:to>
      <xdr:col>12</xdr:col>
      <xdr:colOff>986400</xdr:colOff>
      <xdr:row>35</xdr:row>
      <xdr:rowOff>190440</xdr:rowOff>
    </xdr:to>
    <xdr:graphicFrame>
      <xdr:nvGraphicFramePr>
        <xdr:cNvPr id="2" name="Chart"/>
        <xdr:cNvGraphicFramePr/>
      </xdr:nvGraphicFramePr>
      <xdr:xfrm>
        <a:off x="5145480" y="3975120"/>
        <a:ext cx="789372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2</xdr:row>
      <xdr:rowOff>0</xdr:rowOff>
    </xdr:from>
    <xdr:to>
      <xdr:col>21</xdr:col>
      <xdr:colOff>986760</xdr:colOff>
      <xdr:row>17</xdr:row>
      <xdr:rowOff>190440</xdr:rowOff>
    </xdr:to>
    <xdr:graphicFrame>
      <xdr:nvGraphicFramePr>
        <xdr:cNvPr id="3" name="Chart"/>
        <xdr:cNvGraphicFramePr/>
      </xdr:nvGraphicFramePr>
      <xdr:xfrm>
        <a:off x="13251240" y="546120"/>
        <a:ext cx="789408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20</xdr:row>
      <xdr:rowOff>0</xdr:rowOff>
    </xdr:from>
    <xdr:to>
      <xdr:col>21</xdr:col>
      <xdr:colOff>986760</xdr:colOff>
      <xdr:row>35</xdr:row>
      <xdr:rowOff>190440</xdr:rowOff>
    </xdr:to>
    <xdr:graphicFrame>
      <xdr:nvGraphicFramePr>
        <xdr:cNvPr id="4" name="Chart"/>
        <xdr:cNvGraphicFramePr/>
      </xdr:nvGraphicFramePr>
      <xdr:xfrm>
        <a:off x="13251240" y="3975120"/>
        <a:ext cx="789408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ewertung_4omini" displayName="Bewertung_4omini" ref="A1:L78" headerRowCount="1" totalsRowCount="0" totalsRowShown="0">
  <tableColumns count="12">
    <tableColumn id="1" name="BILDER"/>
    <tableColumn id="2" name="INHALTL. GENAUIGKEIT"/>
    <tableColumn id="3" name="HALLUZINATIONEN"/>
    <tableColumn id="4" name="DETAILTIEFE"/>
    <tableColumn id="5" name="ROBUSTHEIT"/>
    <tableColumn id="6" name="KONSISTENZ"/>
    <tableColumn id="7" name="Kommentar / Kosten später"/>
    <tableColumn id="8" name="Summe Kernkriterien"/>
    <tableColumn id="9" name="Ø Kernkriterien"/>
    <tableColumn id="10" name="Summe inkl. Konsistenz"/>
    <tableColumn id="11" name="Ø inkl. Konsistenz"/>
    <tableColumn id="12" name="Rang Kern"/>
  </tableColumns>
</table>
</file>

<file path=xl/tables/table2.xml><?xml version="1.0" encoding="utf-8"?>
<table xmlns="http://schemas.openxmlformats.org/spreadsheetml/2006/main" id="2" name="Summary_4omini" displayName="Summary_4omini" ref="A9:D14" headerRowCount="1" totalsRowCount="0" totalsRowShown="0">
  <tableColumns count="4">
    <tableColumn id="1" name="Kriterium"/>
    <tableColumn id="2" name="Anzahl"/>
    <tableColumn id="3" name="Summe"/>
    <tableColumn id="4" name="Durchschnitt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7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38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2" min="12" style="0" width="10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1</v>
      </c>
      <c r="B2" s="2" t="n">
        <v>4</v>
      </c>
      <c r="C2" s="2" t="n">
        <v>3</v>
      </c>
      <c r="D2" s="2" t="n">
        <v>5</v>
      </c>
      <c r="E2" s="2" t="n">
        <v>5</v>
      </c>
      <c r="F2" s="2"/>
      <c r="G2" s="3"/>
      <c r="H2" s="2" t="n">
        <f aca="false">SUM(B2:E2)</f>
        <v>17</v>
      </c>
      <c r="I2" s="4" t="n">
        <f aca="false">AVERAGE(B2:E2)</f>
        <v>4.25</v>
      </c>
      <c r="J2" s="2" t="n">
        <f aca="false">SUM(B2:F2)</f>
        <v>17</v>
      </c>
      <c r="K2" s="4" t="n">
        <f aca="false">AVERAGE(B2:F2)</f>
        <v>4.25</v>
      </c>
      <c r="L2" s="2" t="e">
        <f aca="false">rank.eq(I2,$I$2:$I$78,0)+COUNTIF($I$2:I2,I2)-1</f>
        <v>#NAME?</v>
      </c>
    </row>
    <row r="3" customFormat="false" ht="15" hidden="false" customHeight="false" outlineLevel="0" collapsed="false">
      <c r="A3" s="2" t="n">
        <v>2</v>
      </c>
      <c r="B3" s="2" t="n">
        <v>3</v>
      </c>
      <c r="C3" s="2" t="n">
        <v>3</v>
      </c>
      <c r="D3" s="2" t="n">
        <v>5</v>
      </c>
      <c r="E3" s="2" t="n">
        <v>5</v>
      </c>
      <c r="F3" s="2"/>
      <c r="G3" s="3"/>
      <c r="H3" s="2" t="n">
        <f aca="false">SUM(B3:E3)</f>
        <v>16</v>
      </c>
      <c r="I3" s="4" t="n">
        <f aca="false">AVERAGE(B3:E3)</f>
        <v>4</v>
      </c>
      <c r="J3" s="2" t="n">
        <f aca="false">SUM(B3:F3)</f>
        <v>16</v>
      </c>
      <c r="K3" s="4" t="n">
        <f aca="false">AVERAGE(B3:F3)</f>
        <v>4</v>
      </c>
      <c r="L3" s="2" t="e">
        <f aca="false">rank.eq(I3,$I$2:$I$78,0)+COUNTIF($I$2:I3,I3)-1</f>
        <v>#NAME?</v>
      </c>
    </row>
    <row r="4" customFormat="false" ht="15" hidden="false" customHeight="false" outlineLevel="0" collapsed="false">
      <c r="A4" s="2" t="n">
        <v>3</v>
      </c>
      <c r="B4" s="2" t="n">
        <v>3</v>
      </c>
      <c r="C4" s="2" t="n">
        <v>2</v>
      </c>
      <c r="D4" s="2" t="n">
        <v>4</v>
      </c>
      <c r="E4" s="2" t="n">
        <v>5</v>
      </c>
      <c r="F4" s="2"/>
      <c r="G4" s="3"/>
      <c r="H4" s="2" t="n">
        <f aca="false">SUM(B4:E4)</f>
        <v>14</v>
      </c>
      <c r="I4" s="4" t="n">
        <f aca="false">AVERAGE(B4:E4)</f>
        <v>3.5</v>
      </c>
      <c r="J4" s="2" t="n">
        <f aca="false">SUM(B4:F4)</f>
        <v>14</v>
      </c>
      <c r="K4" s="4" t="n">
        <f aca="false">AVERAGE(B4:F4)</f>
        <v>3.5</v>
      </c>
      <c r="L4" s="2" t="e">
        <f aca="false">rank.eq(I4,$I$2:$I$78,0)+COUNTIF($I$2:I4,I4)-1</f>
        <v>#NAME?</v>
      </c>
    </row>
    <row r="5" customFormat="false" ht="15" hidden="false" customHeight="false" outlineLevel="0" collapsed="false">
      <c r="A5" s="2" t="n">
        <v>4</v>
      </c>
      <c r="B5" s="2" t="n">
        <v>3</v>
      </c>
      <c r="C5" s="2" t="n">
        <v>3</v>
      </c>
      <c r="D5" s="2" t="n">
        <v>4</v>
      </c>
      <c r="E5" s="2" t="n">
        <v>5</v>
      </c>
      <c r="F5" s="2"/>
      <c r="G5" s="3"/>
      <c r="H5" s="2" t="n">
        <f aca="false">SUM(B5:E5)</f>
        <v>15</v>
      </c>
      <c r="I5" s="4" t="n">
        <f aca="false">AVERAGE(B5:E5)</f>
        <v>3.75</v>
      </c>
      <c r="J5" s="2" t="n">
        <f aca="false">SUM(B5:F5)</f>
        <v>15</v>
      </c>
      <c r="K5" s="4" t="n">
        <f aca="false">AVERAGE(B5:F5)</f>
        <v>3.75</v>
      </c>
      <c r="L5" s="2" t="e">
        <f aca="false">rank.eq(I5,$I$2:$I$78,0)+COUNTIF($I$2:I5,I5)-1</f>
        <v>#NAME?</v>
      </c>
    </row>
    <row r="6" customFormat="false" ht="15" hidden="false" customHeight="false" outlineLevel="0" collapsed="false">
      <c r="A6" s="2" t="n">
        <v>5</v>
      </c>
      <c r="B6" s="2" t="n">
        <v>2</v>
      </c>
      <c r="C6" s="2" t="n">
        <v>4</v>
      </c>
      <c r="D6" s="2" t="n">
        <v>3</v>
      </c>
      <c r="E6" s="2" t="n">
        <v>5</v>
      </c>
      <c r="F6" s="2"/>
      <c r="G6" s="3"/>
      <c r="H6" s="2" t="n">
        <f aca="false">SUM(B6:E6)</f>
        <v>14</v>
      </c>
      <c r="I6" s="4" t="n">
        <f aca="false">AVERAGE(B6:E6)</f>
        <v>3.5</v>
      </c>
      <c r="J6" s="2" t="n">
        <f aca="false">SUM(B6:F6)</f>
        <v>14</v>
      </c>
      <c r="K6" s="4" t="n">
        <f aca="false">AVERAGE(B6:F6)</f>
        <v>3.5</v>
      </c>
      <c r="L6" s="2" t="e">
        <f aca="false">rank.eq(I6,$I$2:$I$78,0)+COUNTIF($I$2:I6,I6)-1</f>
        <v>#NAME?</v>
      </c>
    </row>
    <row r="7" customFormat="false" ht="15" hidden="false" customHeight="false" outlineLevel="0" collapsed="false">
      <c r="A7" s="2" t="n">
        <v>6</v>
      </c>
      <c r="B7" s="2" t="n">
        <v>3</v>
      </c>
      <c r="C7" s="2" t="n">
        <v>1</v>
      </c>
      <c r="D7" s="2" t="n">
        <v>3</v>
      </c>
      <c r="E7" s="2" t="n">
        <v>5</v>
      </c>
      <c r="F7" s="2" t="n">
        <v>2</v>
      </c>
      <c r="G7" s="3"/>
      <c r="H7" s="2" t="n">
        <f aca="false">SUM(B7:E7)</f>
        <v>12</v>
      </c>
      <c r="I7" s="4" t="n">
        <f aca="false">AVERAGE(B7:E7)</f>
        <v>3</v>
      </c>
      <c r="J7" s="2" t="n">
        <f aca="false">SUM(B7:F7)</f>
        <v>14</v>
      </c>
      <c r="K7" s="4" t="n">
        <f aca="false">AVERAGE(B7:F7)</f>
        <v>2.8</v>
      </c>
      <c r="L7" s="2" t="e">
        <f aca="false">rank.eq(I7,$I$2:$I$78,0)+COUNTIF($I$2:I7,I7)-1</f>
        <v>#NAME?</v>
      </c>
    </row>
    <row r="8" customFormat="false" ht="15" hidden="false" customHeight="false" outlineLevel="0" collapsed="false">
      <c r="A8" s="2" t="n">
        <v>7</v>
      </c>
      <c r="B8" s="2" t="n">
        <v>2</v>
      </c>
      <c r="C8" s="2" t="n">
        <v>2</v>
      </c>
      <c r="D8" s="2" t="n">
        <v>3</v>
      </c>
      <c r="E8" s="2" t="n">
        <v>5</v>
      </c>
      <c r="F8" s="2" t="n">
        <v>2</v>
      </c>
      <c r="G8" s="3"/>
      <c r="H8" s="2" t="n">
        <f aca="false">SUM(B8:E8)</f>
        <v>12</v>
      </c>
      <c r="I8" s="4" t="n">
        <f aca="false">AVERAGE(B8:E8)</f>
        <v>3</v>
      </c>
      <c r="J8" s="2" t="n">
        <f aca="false">SUM(B8:F8)</f>
        <v>14</v>
      </c>
      <c r="K8" s="4" t="n">
        <f aca="false">AVERAGE(B8:F8)</f>
        <v>2.8</v>
      </c>
      <c r="L8" s="2" t="e">
        <f aca="false">rank.eq(I8,$I$2:$I$78,0)+COUNTIF($I$2:I8,I8)-1</f>
        <v>#NAME?</v>
      </c>
    </row>
    <row r="9" customFormat="false" ht="23.55" hidden="false" customHeight="false" outlineLevel="0" collapsed="false">
      <c r="A9" s="2" t="n">
        <v>8</v>
      </c>
      <c r="B9" s="2" t="n">
        <v>3</v>
      </c>
      <c r="C9" s="2" t="n">
        <v>3</v>
      </c>
      <c r="D9" s="2" t="n">
        <v>2</v>
      </c>
      <c r="E9" s="2" t="n">
        <v>5</v>
      </c>
      <c r="F9" s="2"/>
      <c r="G9" s="3" t="s">
        <v>12</v>
      </c>
      <c r="H9" s="2" t="n">
        <f aca="false">SUM(B9:E9)</f>
        <v>13</v>
      </c>
      <c r="I9" s="4" t="n">
        <f aca="false">AVERAGE(B9:E9)</f>
        <v>3.25</v>
      </c>
      <c r="J9" s="2" t="n">
        <f aca="false">SUM(B9:F9)</f>
        <v>13</v>
      </c>
      <c r="K9" s="4" t="n">
        <f aca="false">AVERAGE(B9:F9)</f>
        <v>3.25</v>
      </c>
      <c r="L9" s="2" t="e">
        <f aca="false">rank.eq(I9,$I$2:$I$78,0)+COUNTIF($I$2:I9,I9)-1</f>
        <v>#NAME?</v>
      </c>
    </row>
    <row r="10" customFormat="false" ht="23.55" hidden="false" customHeight="false" outlineLevel="0" collapsed="false">
      <c r="A10" s="2" t="n">
        <v>9</v>
      </c>
      <c r="B10" s="2" t="n">
        <v>3</v>
      </c>
      <c r="C10" s="2" t="n">
        <v>4</v>
      </c>
      <c r="D10" s="2" t="n">
        <v>4</v>
      </c>
      <c r="E10" s="2" t="n">
        <v>5</v>
      </c>
      <c r="F10" s="2"/>
      <c r="G10" s="3" t="s">
        <v>13</v>
      </c>
      <c r="H10" s="2" t="n">
        <f aca="false">SUM(B10:E10)</f>
        <v>16</v>
      </c>
      <c r="I10" s="4" t="n">
        <f aca="false">AVERAGE(B10:E10)</f>
        <v>4</v>
      </c>
      <c r="J10" s="2" t="n">
        <f aca="false">SUM(B10:F10)</f>
        <v>16</v>
      </c>
      <c r="K10" s="4" t="n">
        <f aca="false">AVERAGE(B10:F10)</f>
        <v>4</v>
      </c>
      <c r="L10" s="2" t="e">
        <f aca="false">rank.eq(I10,$I$2:$I$78,0)+COUNTIF($I$2:I10,I10)-1</f>
        <v>#NAME?</v>
      </c>
    </row>
    <row r="11" customFormat="false" ht="15" hidden="false" customHeight="false" outlineLevel="0" collapsed="false">
      <c r="A11" s="2" t="n">
        <v>10</v>
      </c>
      <c r="B11" s="2" t="n">
        <v>3</v>
      </c>
      <c r="C11" s="2" t="n">
        <v>4</v>
      </c>
      <c r="D11" s="2" t="n">
        <v>2</v>
      </c>
      <c r="E11" s="2" t="n">
        <v>4</v>
      </c>
      <c r="F11" s="2"/>
      <c r="G11" s="3"/>
      <c r="H11" s="2" t="n">
        <f aca="false">SUM(B11:E11)</f>
        <v>13</v>
      </c>
      <c r="I11" s="4" t="n">
        <f aca="false">AVERAGE(B11:E11)</f>
        <v>3.25</v>
      </c>
      <c r="J11" s="2" t="n">
        <f aca="false">SUM(B11:F11)</f>
        <v>13</v>
      </c>
      <c r="K11" s="4" t="n">
        <f aca="false">AVERAGE(B11:F11)</f>
        <v>3.25</v>
      </c>
      <c r="L11" s="2" t="e">
        <f aca="false">rank.eq(I11,$I$2:$I$78,0)+COUNTIF($I$2:I11,I11)-1</f>
        <v>#NAME?</v>
      </c>
    </row>
    <row r="12" customFormat="false" ht="15" hidden="false" customHeight="false" outlineLevel="0" collapsed="false">
      <c r="A12" s="2" t="n">
        <v>11</v>
      </c>
      <c r="B12" s="2" t="n">
        <v>3</v>
      </c>
      <c r="C12" s="2" t="n">
        <v>2</v>
      </c>
      <c r="D12" s="2" t="n">
        <v>4</v>
      </c>
      <c r="E12" s="2" t="n">
        <v>5</v>
      </c>
      <c r="F12" s="2"/>
      <c r="G12" s="3"/>
      <c r="H12" s="2" t="n">
        <f aca="false">SUM(B12:E12)</f>
        <v>14</v>
      </c>
      <c r="I12" s="4" t="n">
        <f aca="false">AVERAGE(B12:E12)</f>
        <v>3.5</v>
      </c>
      <c r="J12" s="2" t="n">
        <f aca="false">SUM(B12:F12)</f>
        <v>14</v>
      </c>
      <c r="K12" s="4" t="n">
        <f aca="false">AVERAGE(B12:F12)</f>
        <v>3.5</v>
      </c>
      <c r="L12" s="2" t="e">
        <f aca="false">rank.eq(I12,$I$2:$I$78,0)+COUNTIF($I$2:I12,I12)-1</f>
        <v>#NAME?</v>
      </c>
    </row>
    <row r="13" customFormat="false" ht="15" hidden="false" customHeight="false" outlineLevel="0" collapsed="false">
      <c r="A13" s="2" t="n">
        <v>12</v>
      </c>
      <c r="B13" s="2" t="n">
        <v>4</v>
      </c>
      <c r="C13" s="2" t="n">
        <v>3</v>
      </c>
      <c r="D13" s="2" t="n">
        <v>4</v>
      </c>
      <c r="E13" s="2" t="n">
        <v>5</v>
      </c>
      <c r="F13" s="2"/>
      <c r="G13" s="3"/>
      <c r="H13" s="2" t="n">
        <f aca="false">SUM(B13:E13)</f>
        <v>16</v>
      </c>
      <c r="I13" s="4" t="n">
        <f aca="false">AVERAGE(B13:E13)</f>
        <v>4</v>
      </c>
      <c r="J13" s="2" t="n">
        <f aca="false">SUM(B13:F13)</f>
        <v>16</v>
      </c>
      <c r="K13" s="4" t="n">
        <f aca="false">AVERAGE(B13:F13)</f>
        <v>4</v>
      </c>
      <c r="L13" s="2" t="e">
        <f aca="false">rank.eq(I13,$I$2:$I$78,0)+COUNTIF($I$2:I13,I13)-1</f>
        <v>#NAME?</v>
      </c>
    </row>
    <row r="14" customFormat="false" ht="15" hidden="false" customHeight="false" outlineLevel="0" collapsed="false">
      <c r="A14" s="2" t="n">
        <v>13</v>
      </c>
      <c r="B14" s="2" t="n">
        <v>4</v>
      </c>
      <c r="C14" s="2" t="n">
        <v>4</v>
      </c>
      <c r="D14" s="2" t="n">
        <v>3</v>
      </c>
      <c r="E14" s="2" t="n">
        <v>5</v>
      </c>
      <c r="F14" s="2" t="n">
        <v>3</v>
      </c>
      <c r="G14" s="3"/>
      <c r="H14" s="2" t="n">
        <f aca="false">SUM(B14:E14)</f>
        <v>16</v>
      </c>
      <c r="I14" s="4" t="n">
        <f aca="false">AVERAGE(B14:E14)</f>
        <v>4</v>
      </c>
      <c r="J14" s="2" t="n">
        <f aca="false">SUM(B14:F14)</f>
        <v>19</v>
      </c>
      <c r="K14" s="4" t="n">
        <f aca="false">AVERAGE(B14:F14)</f>
        <v>3.8</v>
      </c>
      <c r="L14" s="2" t="e">
        <f aca="false">rank.eq(I14,$I$2:$I$78,0)+COUNTIF($I$2:I14,I14)-1</f>
        <v>#NAME?</v>
      </c>
    </row>
    <row r="15" customFormat="false" ht="15" hidden="false" customHeight="false" outlineLevel="0" collapsed="false">
      <c r="A15" s="2" t="n">
        <v>14</v>
      </c>
      <c r="B15" s="2" t="n">
        <v>4</v>
      </c>
      <c r="C15" s="2" t="n">
        <v>3</v>
      </c>
      <c r="D15" s="2" t="n">
        <v>4</v>
      </c>
      <c r="E15" s="2" t="n">
        <v>5</v>
      </c>
      <c r="F15" s="2" t="n">
        <v>3</v>
      </c>
      <c r="G15" s="3"/>
      <c r="H15" s="2" t="n">
        <f aca="false">SUM(B15:E15)</f>
        <v>16</v>
      </c>
      <c r="I15" s="4" t="n">
        <f aca="false">AVERAGE(B15:E15)</f>
        <v>4</v>
      </c>
      <c r="J15" s="2" t="n">
        <f aca="false">SUM(B15:F15)</f>
        <v>19</v>
      </c>
      <c r="K15" s="4" t="n">
        <f aca="false">AVERAGE(B15:F15)</f>
        <v>3.8</v>
      </c>
      <c r="L15" s="2" t="e">
        <f aca="false">rank.eq(I15,$I$2:$I$78,0)+COUNTIF($I$2:I15,I15)-1</f>
        <v>#NAME?</v>
      </c>
    </row>
    <row r="16" customFormat="false" ht="15" hidden="false" customHeight="false" outlineLevel="0" collapsed="false">
      <c r="A16" s="2" t="n">
        <v>15</v>
      </c>
      <c r="B16" s="2" t="n">
        <v>3</v>
      </c>
      <c r="C16" s="2" t="n">
        <v>2</v>
      </c>
      <c r="D16" s="2" t="n">
        <v>2</v>
      </c>
      <c r="E16" s="2" t="n">
        <v>5</v>
      </c>
      <c r="F16" s="2"/>
      <c r="G16" s="3"/>
      <c r="H16" s="2" t="n">
        <f aca="false">SUM(B16:E16)</f>
        <v>12</v>
      </c>
      <c r="I16" s="4" t="n">
        <f aca="false">AVERAGE(B16:E16)</f>
        <v>3</v>
      </c>
      <c r="J16" s="2" t="n">
        <f aca="false">SUM(B16:F16)</f>
        <v>12</v>
      </c>
      <c r="K16" s="4" t="n">
        <f aca="false">AVERAGE(B16:F16)</f>
        <v>3</v>
      </c>
      <c r="L16" s="2" t="e">
        <f aca="false">rank.eq(I16,$I$2:$I$78,0)+COUNTIF($I$2:I16,I16)-1</f>
        <v>#NAME?</v>
      </c>
    </row>
    <row r="17" customFormat="false" ht="15" hidden="false" customHeight="false" outlineLevel="0" collapsed="false">
      <c r="A17" s="2" t="n">
        <v>16</v>
      </c>
      <c r="B17" s="2" t="n">
        <v>3</v>
      </c>
      <c r="C17" s="2" t="n">
        <v>3</v>
      </c>
      <c r="D17" s="2" t="n">
        <v>4</v>
      </c>
      <c r="E17" s="2" t="n">
        <v>5</v>
      </c>
      <c r="F17" s="2"/>
      <c r="G17" s="3"/>
      <c r="H17" s="2" t="n">
        <f aca="false">SUM(B17:E17)</f>
        <v>15</v>
      </c>
      <c r="I17" s="4" t="n">
        <f aca="false">AVERAGE(B17:E17)</f>
        <v>3.75</v>
      </c>
      <c r="J17" s="2" t="n">
        <f aca="false">SUM(B17:F17)</f>
        <v>15</v>
      </c>
      <c r="K17" s="4" t="n">
        <f aca="false">AVERAGE(B17:F17)</f>
        <v>3.75</v>
      </c>
      <c r="L17" s="2" t="e">
        <f aca="false">rank.eq(I17,$I$2:$I$78,0)+COUNTIF($I$2:I17,I17)-1</f>
        <v>#NAME?</v>
      </c>
    </row>
    <row r="18" customFormat="false" ht="15" hidden="false" customHeight="false" outlineLevel="0" collapsed="false">
      <c r="A18" s="2" t="n">
        <v>17</v>
      </c>
      <c r="B18" s="2" t="n">
        <v>5</v>
      </c>
      <c r="C18" s="2" t="n">
        <v>5</v>
      </c>
      <c r="D18" s="2" t="n">
        <v>4</v>
      </c>
      <c r="E18" s="2" t="n">
        <v>5</v>
      </c>
      <c r="F18" s="2"/>
      <c r="G18" s="3"/>
      <c r="H18" s="2" t="n">
        <f aca="false">SUM(B18:E18)</f>
        <v>19</v>
      </c>
      <c r="I18" s="4" t="n">
        <f aca="false">AVERAGE(B18:E18)</f>
        <v>4.75</v>
      </c>
      <c r="J18" s="2" t="n">
        <f aca="false">SUM(B18:F18)</f>
        <v>19</v>
      </c>
      <c r="K18" s="4" t="n">
        <f aca="false">AVERAGE(B18:F18)</f>
        <v>4.75</v>
      </c>
      <c r="L18" s="2" t="e">
        <f aca="false">rank.eq(I18,$I$2:$I$78,0)+COUNTIF($I$2:I18,I18)-1</f>
        <v>#NAME?</v>
      </c>
    </row>
    <row r="19" customFormat="false" ht="15" hidden="false" customHeight="false" outlineLevel="0" collapsed="false">
      <c r="A19" s="2" t="n">
        <v>18</v>
      </c>
      <c r="B19" s="2" t="n">
        <v>3</v>
      </c>
      <c r="C19" s="2" t="n">
        <v>3</v>
      </c>
      <c r="D19" s="2" t="n">
        <v>3</v>
      </c>
      <c r="E19" s="2" t="n">
        <v>5</v>
      </c>
      <c r="F19" s="2"/>
      <c r="G19" s="3"/>
      <c r="H19" s="2" t="n">
        <f aca="false">SUM(B19:E19)</f>
        <v>14</v>
      </c>
      <c r="I19" s="4" t="n">
        <f aca="false">AVERAGE(B19:E19)</f>
        <v>3.5</v>
      </c>
      <c r="J19" s="2" t="n">
        <f aca="false">SUM(B19:F19)</f>
        <v>14</v>
      </c>
      <c r="K19" s="4" t="n">
        <f aca="false">AVERAGE(B19:F19)</f>
        <v>3.5</v>
      </c>
      <c r="L19" s="2" t="e">
        <f aca="false">rank.eq(I19,$I$2:$I$78,0)+COUNTIF($I$2:I19,I19)-1</f>
        <v>#NAME?</v>
      </c>
    </row>
    <row r="20" customFormat="false" ht="15" hidden="false" customHeight="false" outlineLevel="0" collapsed="false">
      <c r="A20" s="2" t="n">
        <v>19</v>
      </c>
      <c r="B20" s="2" t="n">
        <v>2</v>
      </c>
      <c r="C20" s="2" t="n">
        <v>4</v>
      </c>
      <c r="D20" s="2" t="n">
        <v>0</v>
      </c>
      <c r="E20" s="2" t="n">
        <v>4</v>
      </c>
      <c r="F20" s="2"/>
      <c r="G20" s="3"/>
      <c r="H20" s="2" t="n">
        <f aca="false">SUM(B20:E20)</f>
        <v>10</v>
      </c>
      <c r="I20" s="4" t="n">
        <f aca="false">AVERAGE(B20:E20)</f>
        <v>2.5</v>
      </c>
      <c r="J20" s="2" t="n">
        <f aca="false">SUM(B20:F20)</f>
        <v>10</v>
      </c>
      <c r="K20" s="4" t="n">
        <f aca="false">AVERAGE(B20:F20)</f>
        <v>2.5</v>
      </c>
      <c r="L20" s="2" t="e">
        <f aca="false">rank.eq(I20,$I$2:$I$78,0)+COUNTIF($I$2:I20,I20)-1</f>
        <v>#NAME?</v>
      </c>
    </row>
    <row r="21" customFormat="false" ht="15" hidden="false" customHeight="false" outlineLevel="0" collapsed="false">
      <c r="A21" s="2" t="n">
        <v>20</v>
      </c>
      <c r="B21" s="2" t="n">
        <v>3</v>
      </c>
      <c r="C21" s="2" t="n">
        <v>4</v>
      </c>
      <c r="D21" s="2" t="n">
        <v>4</v>
      </c>
      <c r="E21" s="2" t="n">
        <v>5</v>
      </c>
      <c r="F21" s="2" t="n">
        <v>4</v>
      </c>
      <c r="G21" s="3"/>
      <c r="H21" s="2" t="n">
        <f aca="false">SUM(B21:E21)</f>
        <v>16</v>
      </c>
      <c r="I21" s="4" t="n">
        <f aca="false">AVERAGE(B21:E21)</f>
        <v>4</v>
      </c>
      <c r="J21" s="2" t="n">
        <f aca="false">SUM(B21:F21)</f>
        <v>20</v>
      </c>
      <c r="K21" s="4" t="n">
        <f aca="false">AVERAGE(B21:F21)</f>
        <v>4</v>
      </c>
      <c r="L21" s="2" t="e">
        <f aca="false">rank.eq(I21,$I$2:$I$78,0)+COUNTIF($I$2:I21,I21)-1</f>
        <v>#NAME?</v>
      </c>
    </row>
    <row r="22" customFormat="false" ht="15" hidden="false" customHeight="false" outlineLevel="0" collapsed="false">
      <c r="A22" s="2" t="n">
        <v>21</v>
      </c>
      <c r="B22" s="2" t="n">
        <v>5</v>
      </c>
      <c r="C22" s="2" t="n">
        <v>5</v>
      </c>
      <c r="D22" s="2" t="n">
        <v>4</v>
      </c>
      <c r="E22" s="2" t="n">
        <v>5</v>
      </c>
      <c r="F22" s="2" t="n">
        <v>4</v>
      </c>
      <c r="G22" s="3"/>
      <c r="H22" s="2" t="n">
        <f aca="false">SUM(B22:E22)</f>
        <v>19</v>
      </c>
      <c r="I22" s="4" t="n">
        <f aca="false">AVERAGE(B22:E22)</f>
        <v>4.75</v>
      </c>
      <c r="J22" s="2" t="n">
        <f aca="false">SUM(B22:F22)</f>
        <v>23</v>
      </c>
      <c r="K22" s="4" t="n">
        <f aca="false">AVERAGE(B22:F22)</f>
        <v>4.6</v>
      </c>
      <c r="L22" s="2" t="e">
        <f aca="false">rank.eq(I22,$I$2:$I$78,0)+COUNTIF($I$2:I22,I22)-1</f>
        <v>#NAME?</v>
      </c>
    </row>
    <row r="23" customFormat="false" ht="15" hidden="false" customHeight="false" outlineLevel="0" collapsed="false">
      <c r="A23" s="2" t="n">
        <v>22</v>
      </c>
      <c r="B23" s="2" t="n">
        <v>2</v>
      </c>
      <c r="C23" s="2" t="n">
        <v>3</v>
      </c>
      <c r="D23" s="2" t="n">
        <v>3</v>
      </c>
      <c r="E23" s="2" t="n">
        <v>5</v>
      </c>
      <c r="F23" s="2"/>
      <c r="G23" s="3"/>
      <c r="H23" s="2" t="n">
        <f aca="false">SUM(B23:E23)</f>
        <v>13</v>
      </c>
      <c r="I23" s="4" t="n">
        <f aca="false">AVERAGE(B23:E23)</f>
        <v>3.25</v>
      </c>
      <c r="J23" s="2" t="n">
        <f aca="false">SUM(B23:F23)</f>
        <v>13</v>
      </c>
      <c r="K23" s="4" t="n">
        <f aca="false">AVERAGE(B23:F23)</f>
        <v>3.25</v>
      </c>
      <c r="L23" s="2" t="e">
        <f aca="false">rank.eq(I23,$I$2:$I$78,0)+COUNTIF($I$2:I23,I23)-1</f>
        <v>#NAME?</v>
      </c>
    </row>
    <row r="24" customFormat="false" ht="15" hidden="false" customHeight="false" outlineLevel="0" collapsed="false">
      <c r="A24" s="2" t="n">
        <v>23</v>
      </c>
      <c r="B24" s="2" t="n">
        <v>2</v>
      </c>
      <c r="C24" s="2" t="n">
        <v>4</v>
      </c>
      <c r="D24" s="2" t="n">
        <v>2</v>
      </c>
      <c r="E24" s="2" t="n">
        <v>4</v>
      </c>
      <c r="F24" s="2"/>
      <c r="G24" s="3"/>
      <c r="H24" s="2" t="n">
        <f aca="false">SUM(B24:E24)</f>
        <v>12</v>
      </c>
      <c r="I24" s="4" t="n">
        <f aca="false">AVERAGE(B24:E24)</f>
        <v>3</v>
      </c>
      <c r="J24" s="2" t="n">
        <f aca="false">SUM(B24:F24)</f>
        <v>12</v>
      </c>
      <c r="K24" s="4" t="n">
        <f aca="false">AVERAGE(B24:F24)</f>
        <v>3</v>
      </c>
      <c r="L24" s="2" t="e">
        <f aca="false">rank.eq(I24,$I$2:$I$78,0)+COUNTIF($I$2:I24,I24)-1</f>
        <v>#NAME?</v>
      </c>
    </row>
    <row r="25" customFormat="false" ht="15" hidden="false" customHeight="false" outlineLevel="0" collapsed="false">
      <c r="A25" s="2" t="n">
        <v>24</v>
      </c>
      <c r="B25" s="2" t="n">
        <v>2</v>
      </c>
      <c r="C25" s="2" t="n">
        <v>3</v>
      </c>
      <c r="D25" s="2" t="n">
        <v>5</v>
      </c>
      <c r="E25" s="2" t="n">
        <v>5</v>
      </c>
      <c r="F25" s="2"/>
      <c r="G25" s="3"/>
      <c r="H25" s="2" t="n">
        <f aca="false">SUM(B25:E25)</f>
        <v>15</v>
      </c>
      <c r="I25" s="4" t="n">
        <f aca="false">AVERAGE(B25:E25)</f>
        <v>3.75</v>
      </c>
      <c r="J25" s="2" t="n">
        <f aca="false">SUM(B25:F25)</f>
        <v>15</v>
      </c>
      <c r="K25" s="4" t="n">
        <f aca="false">AVERAGE(B25:F25)</f>
        <v>3.75</v>
      </c>
      <c r="L25" s="2" t="e">
        <f aca="false">rank.eq(I25,$I$2:$I$78,0)+COUNTIF($I$2:I25,I25)-1</f>
        <v>#NAME?</v>
      </c>
    </row>
    <row r="26" customFormat="false" ht="15" hidden="false" customHeight="false" outlineLevel="0" collapsed="false">
      <c r="A26" s="2" t="n">
        <v>25</v>
      </c>
      <c r="B26" s="2" t="n">
        <v>4</v>
      </c>
      <c r="C26" s="2" t="n">
        <v>4</v>
      </c>
      <c r="D26" s="2" t="n">
        <v>4</v>
      </c>
      <c r="E26" s="2" t="n">
        <v>5</v>
      </c>
      <c r="F26" s="2"/>
      <c r="G26" s="3"/>
      <c r="H26" s="2" t="n">
        <f aca="false">SUM(B26:E26)</f>
        <v>17</v>
      </c>
      <c r="I26" s="4" t="n">
        <f aca="false">AVERAGE(B26:E26)</f>
        <v>4.25</v>
      </c>
      <c r="J26" s="2" t="n">
        <f aca="false">SUM(B26:F26)</f>
        <v>17</v>
      </c>
      <c r="K26" s="4" t="n">
        <f aca="false">AVERAGE(B26:F26)</f>
        <v>4.25</v>
      </c>
      <c r="L26" s="2" t="e">
        <f aca="false">rank.eq(I26,$I$2:$I$78,0)+COUNTIF($I$2:I26,I26)-1</f>
        <v>#NAME?</v>
      </c>
    </row>
    <row r="27" customFormat="false" ht="15" hidden="false" customHeight="false" outlineLevel="0" collapsed="false">
      <c r="A27" s="2" t="n">
        <v>26</v>
      </c>
      <c r="B27" s="2" t="n">
        <v>4</v>
      </c>
      <c r="C27" s="2" t="n">
        <v>3</v>
      </c>
      <c r="D27" s="2" t="n">
        <v>5</v>
      </c>
      <c r="E27" s="2" t="n">
        <v>4</v>
      </c>
      <c r="F27" s="2"/>
      <c r="G27" s="3"/>
      <c r="H27" s="2" t="n">
        <f aca="false">SUM(B27:E27)</f>
        <v>16</v>
      </c>
      <c r="I27" s="4" t="n">
        <f aca="false">AVERAGE(B27:E27)</f>
        <v>4</v>
      </c>
      <c r="J27" s="2" t="n">
        <f aca="false">SUM(B27:F27)</f>
        <v>16</v>
      </c>
      <c r="K27" s="4" t="n">
        <f aca="false">AVERAGE(B27:F27)</f>
        <v>4</v>
      </c>
      <c r="L27" s="2" t="e">
        <f aca="false">rank.eq(I27,$I$2:$I$78,0)+COUNTIF($I$2:I27,I27)-1</f>
        <v>#NAME?</v>
      </c>
    </row>
    <row r="28" customFormat="false" ht="15" hidden="false" customHeight="false" outlineLevel="0" collapsed="false">
      <c r="A28" s="2" t="n">
        <v>27</v>
      </c>
      <c r="B28" s="2" t="n">
        <v>4</v>
      </c>
      <c r="C28" s="2" t="n">
        <v>5</v>
      </c>
      <c r="D28" s="2" t="n">
        <v>3</v>
      </c>
      <c r="E28" s="2" t="n">
        <v>5</v>
      </c>
      <c r="F28" s="2" t="n">
        <v>3</v>
      </c>
      <c r="G28" s="3"/>
      <c r="H28" s="2" t="n">
        <f aca="false">SUM(B28:E28)</f>
        <v>17</v>
      </c>
      <c r="I28" s="4" t="n">
        <f aca="false">AVERAGE(B28:E28)</f>
        <v>4.25</v>
      </c>
      <c r="J28" s="2" t="n">
        <f aca="false">SUM(B28:F28)</f>
        <v>20</v>
      </c>
      <c r="K28" s="4" t="n">
        <f aca="false">AVERAGE(B28:F28)</f>
        <v>4</v>
      </c>
      <c r="L28" s="2" t="e">
        <f aca="false">rank.eq(I28,$I$2:$I$78,0)+COUNTIF($I$2:I28,I28)-1</f>
        <v>#NAME?</v>
      </c>
    </row>
    <row r="29" customFormat="false" ht="15" hidden="false" customHeight="false" outlineLevel="0" collapsed="false">
      <c r="A29" s="2" t="n">
        <v>28</v>
      </c>
      <c r="B29" s="2" t="n">
        <v>3</v>
      </c>
      <c r="C29" s="2" t="n">
        <v>5</v>
      </c>
      <c r="D29" s="2" t="n">
        <v>3</v>
      </c>
      <c r="E29" s="2" t="n">
        <v>5</v>
      </c>
      <c r="F29" s="2" t="n">
        <v>3</v>
      </c>
      <c r="G29" s="3"/>
      <c r="H29" s="2" t="n">
        <f aca="false">SUM(B29:E29)</f>
        <v>16</v>
      </c>
      <c r="I29" s="4" t="n">
        <f aca="false">AVERAGE(B29:E29)</f>
        <v>4</v>
      </c>
      <c r="J29" s="2" t="n">
        <f aca="false">SUM(B29:F29)</f>
        <v>19</v>
      </c>
      <c r="K29" s="4" t="n">
        <f aca="false">AVERAGE(B29:F29)</f>
        <v>3.8</v>
      </c>
      <c r="L29" s="2" t="e">
        <f aca="false">rank.eq(I29,$I$2:$I$78,0)+COUNTIF($I$2:I29,I29)-1</f>
        <v>#NAME?</v>
      </c>
    </row>
    <row r="30" customFormat="false" ht="15" hidden="false" customHeight="false" outlineLevel="0" collapsed="false">
      <c r="A30" s="2" t="n">
        <v>29</v>
      </c>
      <c r="B30" s="2" t="n">
        <v>1</v>
      </c>
      <c r="C30" s="2" t="n">
        <v>5</v>
      </c>
      <c r="D30" s="2" t="n">
        <v>4</v>
      </c>
      <c r="E30" s="2" t="n">
        <v>5</v>
      </c>
      <c r="F30" s="2"/>
      <c r="G30" s="3"/>
      <c r="H30" s="2" t="n">
        <f aca="false">SUM(B30:E30)</f>
        <v>15</v>
      </c>
      <c r="I30" s="4" t="n">
        <f aca="false">AVERAGE(B30:E30)</f>
        <v>3.75</v>
      </c>
      <c r="J30" s="2" t="n">
        <f aca="false">SUM(B30:F30)</f>
        <v>15</v>
      </c>
      <c r="K30" s="4" t="n">
        <f aca="false">AVERAGE(B30:F30)</f>
        <v>3.75</v>
      </c>
      <c r="L30" s="2" t="e">
        <f aca="false">rank.eq(I30,$I$2:$I$78,0)+COUNTIF($I$2:I30,I30)-1</f>
        <v>#NAME?</v>
      </c>
    </row>
    <row r="31" customFormat="false" ht="15" hidden="false" customHeight="false" outlineLevel="0" collapsed="false">
      <c r="A31" s="2" t="n">
        <v>30</v>
      </c>
      <c r="B31" s="2" t="n">
        <v>4</v>
      </c>
      <c r="C31" s="2" t="n">
        <v>4</v>
      </c>
      <c r="D31" s="2" t="n">
        <v>3</v>
      </c>
      <c r="E31" s="2" t="n">
        <v>4</v>
      </c>
      <c r="F31" s="2"/>
      <c r="G31" s="3"/>
      <c r="H31" s="2" t="n">
        <f aca="false">SUM(B31:E31)</f>
        <v>15</v>
      </c>
      <c r="I31" s="4" t="n">
        <f aca="false">AVERAGE(B31:E31)</f>
        <v>3.75</v>
      </c>
      <c r="J31" s="2" t="n">
        <f aca="false">SUM(B31:F31)</f>
        <v>15</v>
      </c>
      <c r="K31" s="4" t="n">
        <f aca="false">AVERAGE(B31:F31)</f>
        <v>3.75</v>
      </c>
      <c r="L31" s="2" t="e">
        <f aca="false">rank.eq(I31,$I$2:$I$78,0)+COUNTIF($I$2:I31,I31)-1</f>
        <v>#NAME?</v>
      </c>
    </row>
    <row r="32" customFormat="false" ht="15" hidden="false" customHeight="false" outlineLevel="0" collapsed="false">
      <c r="A32" s="2" t="n">
        <v>31</v>
      </c>
      <c r="B32" s="2" t="n">
        <v>3</v>
      </c>
      <c r="C32" s="2" t="n">
        <v>3</v>
      </c>
      <c r="D32" s="2" t="n">
        <v>3</v>
      </c>
      <c r="E32" s="2" t="n">
        <v>5</v>
      </c>
      <c r="F32" s="2"/>
      <c r="G32" s="3"/>
      <c r="H32" s="2" t="n">
        <f aca="false">SUM(B32:E32)</f>
        <v>14</v>
      </c>
      <c r="I32" s="4" t="n">
        <f aca="false">AVERAGE(B32:E32)</f>
        <v>3.5</v>
      </c>
      <c r="J32" s="2" t="n">
        <f aca="false">SUM(B32:F32)</f>
        <v>14</v>
      </c>
      <c r="K32" s="4" t="n">
        <f aca="false">AVERAGE(B32:F32)</f>
        <v>3.5</v>
      </c>
      <c r="L32" s="2" t="e">
        <f aca="false">rank.eq(I32,$I$2:$I$78,0)+COUNTIF($I$2:I32,I32)-1</f>
        <v>#NAME?</v>
      </c>
    </row>
    <row r="33" customFormat="false" ht="15" hidden="false" customHeight="false" outlineLevel="0" collapsed="false">
      <c r="A33" s="2" t="n">
        <v>32</v>
      </c>
      <c r="B33" s="2" t="n">
        <v>3</v>
      </c>
      <c r="C33" s="2" t="n">
        <v>3</v>
      </c>
      <c r="D33" s="2" t="n">
        <v>5</v>
      </c>
      <c r="E33" s="2" t="n">
        <v>5</v>
      </c>
      <c r="F33" s="2"/>
      <c r="G33" s="3"/>
      <c r="H33" s="2" t="n">
        <f aca="false">SUM(B33:E33)</f>
        <v>16</v>
      </c>
      <c r="I33" s="4" t="n">
        <f aca="false">AVERAGE(B33:E33)</f>
        <v>4</v>
      </c>
      <c r="J33" s="2" t="n">
        <f aca="false">SUM(B33:F33)</f>
        <v>16</v>
      </c>
      <c r="K33" s="4" t="n">
        <f aca="false">AVERAGE(B33:F33)</f>
        <v>4</v>
      </c>
      <c r="L33" s="2" t="e">
        <f aca="false">rank.eq(I33,$I$2:$I$78,0)+COUNTIF($I$2:I33,I33)-1</f>
        <v>#NAME?</v>
      </c>
    </row>
    <row r="34" customFormat="false" ht="15" hidden="false" customHeight="false" outlineLevel="0" collapsed="false">
      <c r="A34" s="2" t="n">
        <v>33</v>
      </c>
      <c r="B34" s="2" t="n">
        <v>2</v>
      </c>
      <c r="C34" s="2" t="n">
        <v>2</v>
      </c>
      <c r="D34" s="2" t="n">
        <v>5</v>
      </c>
      <c r="E34" s="2" t="n">
        <v>4</v>
      </c>
      <c r="F34" s="2"/>
      <c r="G34" s="3"/>
      <c r="H34" s="2" t="n">
        <f aca="false">SUM(B34:E34)</f>
        <v>13</v>
      </c>
      <c r="I34" s="4" t="n">
        <f aca="false">AVERAGE(B34:E34)</f>
        <v>3.25</v>
      </c>
      <c r="J34" s="2" t="n">
        <f aca="false">SUM(B34:F34)</f>
        <v>13</v>
      </c>
      <c r="K34" s="4" t="n">
        <f aca="false">AVERAGE(B34:F34)</f>
        <v>3.25</v>
      </c>
      <c r="L34" s="2" t="e">
        <f aca="false">rank.eq(I34,$I$2:$I$78,0)+COUNTIF($I$2:I34,I34)-1</f>
        <v>#NAME?</v>
      </c>
    </row>
    <row r="35" customFormat="false" ht="15" hidden="false" customHeight="false" outlineLevel="0" collapsed="false">
      <c r="A35" s="2" t="n">
        <v>34</v>
      </c>
      <c r="B35" s="2" t="n">
        <v>5</v>
      </c>
      <c r="C35" s="2" t="n">
        <v>5</v>
      </c>
      <c r="D35" s="2" t="n">
        <v>3</v>
      </c>
      <c r="E35" s="2" t="n">
        <v>3</v>
      </c>
      <c r="F35" s="2" t="n">
        <v>2</v>
      </c>
      <c r="G35" s="3" t="s">
        <v>14</v>
      </c>
      <c r="H35" s="2" t="n">
        <f aca="false">SUM(B35:E35)</f>
        <v>16</v>
      </c>
      <c r="I35" s="4" t="n">
        <f aca="false">AVERAGE(B35:E35)</f>
        <v>4</v>
      </c>
      <c r="J35" s="2" t="n">
        <f aca="false">SUM(B35:F35)</f>
        <v>18</v>
      </c>
      <c r="K35" s="4" t="n">
        <f aca="false">AVERAGE(B35:F35)</f>
        <v>3.6</v>
      </c>
      <c r="L35" s="2" t="e">
        <f aca="false">rank.eq(I35,$I$2:$I$78,0)+COUNTIF($I$2:I35,I35)-1</f>
        <v>#NAME?</v>
      </c>
    </row>
    <row r="36" customFormat="false" ht="15" hidden="false" customHeight="false" outlineLevel="0" collapsed="false">
      <c r="A36" s="2" t="n">
        <v>35</v>
      </c>
      <c r="B36" s="2" t="n">
        <v>5</v>
      </c>
      <c r="C36" s="2" t="n">
        <v>4</v>
      </c>
      <c r="D36" s="2" t="n">
        <v>3</v>
      </c>
      <c r="E36" s="2" t="n">
        <v>4</v>
      </c>
      <c r="F36" s="2" t="n">
        <v>2</v>
      </c>
      <c r="G36" s="3" t="s">
        <v>15</v>
      </c>
      <c r="H36" s="2" t="n">
        <f aca="false">SUM(B36:E36)</f>
        <v>16</v>
      </c>
      <c r="I36" s="4" t="n">
        <f aca="false">AVERAGE(B36:E36)</f>
        <v>4</v>
      </c>
      <c r="J36" s="2" t="n">
        <f aca="false">SUM(B36:F36)</f>
        <v>18</v>
      </c>
      <c r="K36" s="4" t="n">
        <f aca="false">AVERAGE(B36:F36)</f>
        <v>3.6</v>
      </c>
      <c r="L36" s="2" t="e">
        <f aca="false">rank.eq(I36,$I$2:$I$78,0)+COUNTIF($I$2:I36,I36)-1</f>
        <v>#NAME?</v>
      </c>
    </row>
    <row r="37" customFormat="false" ht="15" hidden="false" customHeight="false" outlineLevel="0" collapsed="false">
      <c r="A37" s="2" t="n">
        <v>36</v>
      </c>
      <c r="B37" s="2" t="n">
        <v>2</v>
      </c>
      <c r="C37" s="2" t="n">
        <v>4</v>
      </c>
      <c r="D37" s="2" t="n">
        <v>4</v>
      </c>
      <c r="E37" s="2" t="n">
        <v>5</v>
      </c>
      <c r="F37" s="2"/>
      <c r="G37" s="3" t="s">
        <v>16</v>
      </c>
      <c r="H37" s="2" t="n">
        <f aca="false">SUM(B37:E37)</f>
        <v>15</v>
      </c>
      <c r="I37" s="4" t="n">
        <f aca="false">AVERAGE(B37:E37)</f>
        <v>3.75</v>
      </c>
      <c r="J37" s="2" t="n">
        <f aca="false">SUM(B37:F37)</f>
        <v>15</v>
      </c>
      <c r="K37" s="4" t="n">
        <f aca="false">AVERAGE(B37:F37)</f>
        <v>3.75</v>
      </c>
      <c r="L37" s="2" t="e">
        <f aca="false">rank.eq(I37,$I$2:$I$78,0)+COUNTIF($I$2:I37,I37)-1</f>
        <v>#NAME?</v>
      </c>
    </row>
    <row r="38" customFormat="false" ht="15" hidden="false" customHeight="false" outlineLevel="0" collapsed="false">
      <c r="A38" s="2" t="n">
        <v>37</v>
      </c>
      <c r="B38" s="2" t="n">
        <v>2</v>
      </c>
      <c r="C38" s="2" t="n">
        <v>4</v>
      </c>
      <c r="D38" s="2" t="n">
        <v>4</v>
      </c>
      <c r="E38" s="2" t="n">
        <v>5</v>
      </c>
      <c r="F38" s="2"/>
      <c r="G38" s="3"/>
      <c r="H38" s="2" t="n">
        <f aca="false">SUM(B38:E38)</f>
        <v>15</v>
      </c>
      <c r="I38" s="4" t="n">
        <f aca="false">AVERAGE(B38:E38)</f>
        <v>3.75</v>
      </c>
      <c r="J38" s="2" t="n">
        <f aca="false">SUM(B38:F38)</f>
        <v>15</v>
      </c>
      <c r="K38" s="4" t="n">
        <f aca="false">AVERAGE(B38:F38)</f>
        <v>3.75</v>
      </c>
      <c r="L38" s="2" t="e">
        <f aca="false">rank.eq(I38,$I$2:$I$78,0)+COUNTIF($I$2:I38,I38)-1</f>
        <v>#NAME?</v>
      </c>
    </row>
    <row r="39" customFormat="false" ht="15" hidden="false" customHeight="false" outlineLevel="0" collapsed="false">
      <c r="A39" s="2" t="n">
        <v>38</v>
      </c>
      <c r="B39" s="2" t="n">
        <v>3</v>
      </c>
      <c r="C39" s="2" t="n">
        <v>4</v>
      </c>
      <c r="D39" s="2" t="n">
        <v>4</v>
      </c>
      <c r="E39" s="2" t="n">
        <v>5</v>
      </c>
      <c r="F39" s="2"/>
      <c r="G39" s="3"/>
      <c r="H39" s="2" t="n">
        <f aca="false">SUM(B39:E39)</f>
        <v>16</v>
      </c>
      <c r="I39" s="4" t="n">
        <f aca="false">AVERAGE(B39:E39)</f>
        <v>4</v>
      </c>
      <c r="J39" s="2" t="n">
        <f aca="false">SUM(B39:F39)</f>
        <v>16</v>
      </c>
      <c r="K39" s="4" t="n">
        <f aca="false">AVERAGE(B39:F39)</f>
        <v>4</v>
      </c>
      <c r="L39" s="2" t="e">
        <f aca="false">rank.eq(I39,$I$2:$I$78,0)+COUNTIF($I$2:I39,I39)-1</f>
        <v>#NAME?</v>
      </c>
    </row>
    <row r="40" customFormat="false" ht="15" hidden="false" customHeight="false" outlineLevel="0" collapsed="false">
      <c r="A40" s="2" t="n">
        <v>39</v>
      </c>
      <c r="B40" s="2" t="n">
        <v>5</v>
      </c>
      <c r="C40" s="2" t="n">
        <v>4</v>
      </c>
      <c r="D40" s="2" t="n">
        <v>4</v>
      </c>
      <c r="E40" s="2" t="n">
        <v>5</v>
      </c>
      <c r="F40" s="2"/>
      <c r="G40" s="3"/>
      <c r="H40" s="2" t="n">
        <f aca="false">SUM(B40:E40)</f>
        <v>18</v>
      </c>
      <c r="I40" s="4" t="n">
        <f aca="false">AVERAGE(B40:E40)</f>
        <v>4.5</v>
      </c>
      <c r="J40" s="2" t="n">
        <f aca="false">SUM(B40:F40)</f>
        <v>18</v>
      </c>
      <c r="K40" s="4" t="n">
        <f aca="false">AVERAGE(B40:F40)</f>
        <v>4.5</v>
      </c>
      <c r="L40" s="2" t="e">
        <f aca="false">rank.eq(I40,$I$2:$I$78,0)+COUNTIF($I$2:I40,I40)-1</f>
        <v>#NAME?</v>
      </c>
    </row>
    <row r="41" customFormat="false" ht="15" hidden="false" customHeight="false" outlineLevel="0" collapsed="false">
      <c r="A41" s="2" t="n">
        <v>40</v>
      </c>
      <c r="B41" s="2" t="n">
        <v>3</v>
      </c>
      <c r="C41" s="2" t="n">
        <v>3</v>
      </c>
      <c r="D41" s="2" t="n">
        <v>5</v>
      </c>
      <c r="E41" s="2" t="n">
        <v>5</v>
      </c>
      <c r="F41" s="2"/>
      <c r="G41" s="3"/>
      <c r="H41" s="2" t="n">
        <f aca="false">SUM(B41:E41)</f>
        <v>16</v>
      </c>
      <c r="I41" s="4" t="n">
        <f aca="false">AVERAGE(B41:E41)</f>
        <v>4</v>
      </c>
      <c r="J41" s="2" t="n">
        <f aca="false">SUM(B41:F41)</f>
        <v>16</v>
      </c>
      <c r="K41" s="4" t="n">
        <f aca="false">AVERAGE(B41:F41)</f>
        <v>4</v>
      </c>
      <c r="L41" s="2" t="e">
        <f aca="false">rank.eq(I41,$I$2:$I$78,0)+COUNTIF($I$2:I41,I41)-1</f>
        <v>#NAME?</v>
      </c>
    </row>
    <row r="42" customFormat="false" ht="15" hidden="false" customHeight="false" outlineLevel="0" collapsed="false">
      <c r="A42" s="2" t="n">
        <v>41</v>
      </c>
      <c r="B42" s="2" t="n">
        <v>3</v>
      </c>
      <c r="C42" s="2" t="n">
        <v>3</v>
      </c>
      <c r="D42" s="2" t="n">
        <v>5</v>
      </c>
      <c r="E42" s="2" t="n">
        <v>4</v>
      </c>
      <c r="F42" s="2" t="n">
        <v>3</v>
      </c>
      <c r="G42" s="3"/>
      <c r="H42" s="2" t="n">
        <f aca="false">SUM(B42:E42)</f>
        <v>15</v>
      </c>
      <c r="I42" s="4" t="n">
        <f aca="false">AVERAGE(B42:E42)</f>
        <v>3.75</v>
      </c>
      <c r="J42" s="2" t="n">
        <f aca="false">SUM(B42:F42)</f>
        <v>18</v>
      </c>
      <c r="K42" s="4" t="n">
        <f aca="false">AVERAGE(B42:F42)</f>
        <v>3.6</v>
      </c>
      <c r="L42" s="2" t="e">
        <f aca="false">rank.eq(I42,$I$2:$I$78,0)+COUNTIF($I$2:I42,I42)-1</f>
        <v>#NAME?</v>
      </c>
    </row>
    <row r="43" customFormat="false" ht="15" hidden="false" customHeight="false" outlineLevel="0" collapsed="false">
      <c r="A43" s="2" t="n">
        <v>42</v>
      </c>
      <c r="B43" s="2" t="n">
        <v>5</v>
      </c>
      <c r="C43" s="2" t="n">
        <v>5</v>
      </c>
      <c r="D43" s="2" t="n">
        <v>3</v>
      </c>
      <c r="E43" s="2" t="n">
        <v>5</v>
      </c>
      <c r="F43" s="2" t="n">
        <v>3</v>
      </c>
      <c r="G43" s="3"/>
      <c r="H43" s="2" t="n">
        <f aca="false">SUM(B43:E43)</f>
        <v>18</v>
      </c>
      <c r="I43" s="4" t="n">
        <f aca="false">AVERAGE(B43:E43)</f>
        <v>4.5</v>
      </c>
      <c r="J43" s="2" t="n">
        <f aca="false">SUM(B43:F43)</f>
        <v>21</v>
      </c>
      <c r="K43" s="4" t="n">
        <f aca="false">AVERAGE(B43:F43)</f>
        <v>4.2</v>
      </c>
      <c r="L43" s="2" t="e">
        <f aca="false">rank.eq(I43,$I$2:$I$78,0)+COUNTIF($I$2:I43,I43)-1</f>
        <v>#NAME?</v>
      </c>
    </row>
    <row r="44" customFormat="false" ht="15" hidden="false" customHeight="false" outlineLevel="0" collapsed="false">
      <c r="A44" s="2" t="n">
        <v>43</v>
      </c>
      <c r="B44" s="2" t="n">
        <v>3</v>
      </c>
      <c r="C44" s="2" t="n">
        <v>3</v>
      </c>
      <c r="D44" s="2" t="n">
        <v>3</v>
      </c>
      <c r="E44" s="2" t="n">
        <v>5</v>
      </c>
      <c r="F44" s="2"/>
      <c r="G44" s="3"/>
      <c r="H44" s="2" t="n">
        <f aca="false">SUM(B44:E44)</f>
        <v>14</v>
      </c>
      <c r="I44" s="4" t="n">
        <f aca="false">AVERAGE(B44:E44)</f>
        <v>3.5</v>
      </c>
      <c r="J44" s="2" t="n">
        <f aca="false">SUM(B44:F44)</f>
        <v>14</v>
      </c>
      <c r="K44" s="4" t="n">
        <f aca="false">AVERAGE(B44:F44)</f>
        <v>3.5</v>
      </c>
      <c r="L44" s="2" t="e">
        <f aca="false">rank.eq(I44,$I$2:$I$78,0)+COUNTIF($I$2:I44,I44)-1</f>
        <v>#NAME?</v>
      </c>
    </row>
    <row r="45" customFormat="false" ht="15" hidden="false" customHeight="false" outlineLevel="0" collapsed="false">
      <c r="A45" s="2" t="n">
        <v>44</v>
      </c>
      <c r="B45" s="2" t="n">
        <v>4</v>
      </c>
      <c r="C45" s="2" t="n">
        <v>4</v>
      </c>
      <c r="D45" s="2" t="n">
        <v>1</v>
      </c>
      <c r="E45" s="2" t="n">
        <v>5</v>
      </c>
      <c r="F45" s="2"/>
      <c r="G45" s="3"/>
      <c r="H45" s="2" t="n">
        <f aca="false">SUM(B45:E45)</f>
        <v>14</v>
      </c>
      <c r="I45" s="4" t="n">
        <f aca="false">AVERAGE(B45:E45)</f>
        <v>3.5</v>
      </c>
      <c r="J45" s="2" t="n">
        <f aca="false">SUM(B45:F45)</f>
        <v>14</v>
      </c>
      <c r="K45" s="4" t="n">
        <f aca="false">AVERAGE(B45:F45)</f>
        <v>3.5</v>
      </c>
      <c r="L45" s="2" t="e">
        <f aca="false">rank.eq(I45,$I$2:$I$78,0)+COUNTIF($I$2:I45,I45)-1</f>
        <v>#NAME?</v>
      </c>
    </row>
    <row r="46" customFormat="false" ht="15" hidden="false" customHeight="false" outlineLevel="0" collapsed="false">
      <c r="A46" s="2" t="n">
        <v>45</v>
      </c>
      <c r="B46" s="2" t="n">
        <v>4</v>
      </c>
      <c r="C46" s="2" t="n">
        <v>5</v>
      </c>
      <c r="D46" s="2" t="n">
        <v>5</v>
      </c>
      <c r="E46" s="2" t="n">
        <v>5</v>
      </c>
      <c r="F46" s="2"/>
      <c r="G46" s="3" t="s">
        <v>17</v>
      </c>
      <c r="H46" s="2" t="n">
        <f aca="false">SUM(B46:E46)</f>
        <v>19</v>
      </c>
      <c r="I46" s="4" t="n">
        <f aca="false">AVERAGE(B46:E46)</f>
        <v>4.75</v>
      </c>
      <c r="J46" s="2" t="n">
        <f aca="false">SUM(B46:F46)</f>
        <v>19</v>
      </c>
      <c r="K46" s="4" t="n">
        <f aca="false">AVERAGE(B46:F46)</f>
        <v>4.75</v>
      </c>
      <c r="L46" s="2" t="e">
        <f aca="false">rank.eq(I46,$I$2:$I$78,0)+COUNTIF($I$2:I46,I46)-1</f>
        <v>#NAME?</v>
      </c>
    </row>
    <row r="47" customFormat="false" ht="15" hidden="false" customHeight="false" outlineLevel="0" collapsed="false">
      <c r="A47" s="2" t="n">
        <v>46</v>
      </c>
      <c r="B47" s="2" t="n">
        <v>1</v>
      </c>
      <c r="C47" s="2" t="n">
        <v>2</v>
      </c>
      <c r="D47" s="2" t="n">
        <v>3</v>
      </c>
      <c r="E47" s="2" t="n">
        <v>5</v>
      </c>
      <c r="F47" s="2"/>
      <c r="G47" s="3"/>
      <c r="H47" s="2" t="n">
        <f aca="false">SUM(B47:E47)</f>
        <v>11</v>
      </c>
      <c r="I47" s="4" t="n">
        <f aca="false">AVERAGE(B47:E47)</f>
        <v>2.75</v>
      </c>
      <c r="J47" s="2" t="n">
        <f aca="false">SUM(B47:F47)</f>
        <v>11</v>
      </c>
      <c r="K47" s="4" t="n">
        <f aca="false">AVERAGE(B47:F47)</f>
        <v>2.75</v>
      </c>
      <c r="L47" s="2" t="e">
        <f aca="false">rank.eq(I47,$I$2:$I$78,0)+COUNTIF($I$2:I47,I47)-1</f>
        <v>#NAME?</v>
      </c>
    </row>
    <row r="48" customFormat="false" ht="15" hidden="false" customHeight="false" outlineLevel="0" collapsed="false">
      <c r="A48" s="2" t="n">
        <v>47</v>
      </c>
      <c r="B48" s="2" t="n">
        <v>4</v>
      </c>
      <c r="C48" s="2" t="n">
        <v>5</v>
      </c>
      <c r="D48" s="2" t="n">
        <v>3</v>
      </c>
      <c r="E48" s="2" t="n">
        <v>4</v>
      </c>
      <c r="F48" s="2"/>
      <c r="G48" s="3"/>
      <c r="H48" s="2" t="n">
        <f aca="false">SUM(B48:E48)</f>
        <v>16</v>
      </c>
      <c r="I48" s="4" t="n">
        <f aca="false">AVERAGE(B48:E48)</f>
        <v>4</v>
      </c>
      <c r="J48" s="2" t="n">
        <f aca="false">SUM(B48:F48)</f>
        <v>16</v>
      </c>
      <c r="K48" s="4" t="n">
        <f aca="false">AVERAGE(B48:F48)</f>
        <v>4</v>
      </c>
      <c r="L48" s="2" t="e">
        <f aca="false">rank.eq(I48,$I$2:$I$78,0)+COUNTIF($I$2:I48,I48)-1</f>
        <v>#NAME?</v>
      </c>
    </row>
    <row r="49" customFormat="false" ht="15" hidden="false" customHeight="false" outlineLevel="0" collapsed="false">
      <c r="A49" s="2" t="n">
        <v>48</v>
      </c>
      <c r="B49" s="2" t="n">
        <v>5</v>
      </c>
      <c r="C49" s="2" t="n">
        <v>4</v>
      </c>
      <c r="D49" s="2" t="n">
        <v>2</v>
      </c>
      <c r="E49" s="2" t="n">
        <v>5</v>
      </c>
      <c r="F49" s="2" t="n">
        <v>3</v>
      </c>
      <c r="G49" s="3"/>
      <c r="H49" s="2" t="n">
        <f aca="false">SUM(B49:E49)</f>
        <v>16</v>
      </c>
      <c r="I49" s="4" t="n">
        <f aca="false">AVERAGE(B49:E49)</f>
        <v>4</v>
      </c>
      <c r="J49" s="2" t="n">
        <f aca="false">SUM(B49:F49)</f>
        <v>19</v>
      </c>
      <c r="K49" s="4" t="n">
        <f aca="false">AVERAGE(B49:F49)</f>
        <v>3.8</v>
      </c>
      <c r="L49" s="2" t="e">
        <f aca="false">rank.eq(I49,$I$2:$I$78,0)+COUNTIF($I$2:I49,I49)-1</f>
        <v>#NAME?</v>
      </c>
    </row>
    <row r="50" customFormat="false" ht="15" hidden="false" customHeight="false" outlineLevel="0" collapsed="false">
      <c r="A50" s="2" t="n">
        <v>49</v>
      </c>
      <c r="B50" s="2" t="n">
        <v>5</v>
      </c>
      <c r="C50" s="2" t="n">
        <v>4</v>
      </c>
      <c r="D50" s="2" t="n">
        <v>3</v>
      </c>
      <c r="E50" s="2" t="n">
        <v>5</v>
      </c>
      <c r="F50" s="2" t="n">
        <v>3</v>
      </c>
      <c r="G50" s="3"/>
      <c r="H50" s="2" t="n">
        <f aca="false">SUM(B50:E50)</f>
        <v>17</v>
      </c>
      <c r="I50" s="4" t="n">
        <f aca="false">AVERAGE(B50:E50)</f>
        <v>4.25</v>
      </c>
      <c r="J50" s="2" t="n">
        <f aca="false">SUM(B50:F50)</f>
        <v>20</v>
      </c>
      <c r="K50" s="4" t="n">
        <f aca="false">AVERAGE(B50:F50)</f>
        <v>4</v>
      </c>
      <c r="L50" s="2" t="e">
        <f aca="false">rank.eq(I50,$I$2:$I$78,0)+COUNTIF($I$2:I50,I50)-1</f>
        <v>#NAME?</v>
      </c>
    </row>
    <row r="51" customFormat="false" ht="15" hidden="false" customHeight="false" outlineLevel="0" collapsed="false">
      <c r="A51" s="2" t="n">
        <v>50</v>
      </c>
      <c r="B51" s="2" t="n">
        <v>2</v>
      </c>
      <c r="C51" s="2" t="n">
        <v>4</v>
      </c>
      <c r="D51" s="2" t="n">
        <v>3</v>
      </c>
      <c r="E51" s="2" t="n">
        <v>5</v>
      </c>
      <c r="F51" s="2"/>
      <c r="G51" s="3"/>
      <c r="H51" s="2" t="n">
        <f aca="false">SUM(B51:E51)</f>
        <v>14</v>
      </c>
      <c r="I51" s="4" t="n">
        <f aca="false">AVERAGE(B51:E51)</f>
        <v>3.5</v>
      </c>
      <c r="J51" s="2" t="n">
        <f aca="false">SUM(B51:F51)</f>
        <v>14</v>
      </c>
      <c r="K51" s="4" t="n">
        <f aca="false">AVERAGE(B51:F51)</f>
        <v>3.5</v>
      </c>
      <c r="L51" s="2" t="e">
        <f aca="false">rank.eq(I51,$I$2:$I$78,0)+COUNTIF($I$2:I51,I51)-1</f>
        <v>#NAME?</v>
      </c>
    </row>
    <row r="52" customFormat="false" ht="15" hidden="false" customHeight="false" outlineLevel="0" collapsed="false">
      <c r="A52" s="2" t="n">
        <v>51</v>
      </c>
      <c r="B52" s="2" t="n">
        <v>2</v>
      </c>
      <c r="C52" s="2" t="n">
        <v>1</v>
      </c>
      <c r="D52" s="2" t="n">
        <v>4</v>
      </c>
      <c r="E52" s="2" t="n">
        <v>5</v>
      </c>
      <c r="F52" s="2"/>
      <c r="G52" s="3"/>
      <c r="H52" s="2" t="n">
        <f aca="false">SUM(B52:E52)</f>
        <v>12</v>
      </c>
      <c r="I52" s="4" t="n">
        <f aca="false">AVERAGE(B52:E52)</f>
        <v>3</v>
      </c>
      <c r="J52" s="2" t="n">
        <f aca="false">SUM(B52:F52)</f>
        <v>12</v>
      </c>
      <c r="K52" s="4" t="n">
        <f aca="false">AVERAGE(B52:F52)</f>
        <v>3</v>
      </c>
      <c r="L52" s="2" t="e">
        <f aca="false">rank.eq(I52,$I$2:$I$78,0)+COUNTIF($I$2:I52,I52)-1</f>
        <v>#NAME?</v>
      </c>
    </row>
    <row r="53" customFormat="false" ht="15" hidden="false" customHeight="false" outlineLevel="0" collapsed="false">
      <c r="A53" s="2" t="n">
        <v>52</v>
      </c>
      <c r="B53" s="2" t="n">
        <v>3</v>
      </c>
      <c r="C53" s="2" t="n">
        <v>3</v>
      </c>
      <c r="D53" s="2" t="n">
        <v>5</v>
      </c>
      <c r="E53" s="2" t="n">
        <v>5</v>
      </c>
      <c r="F53" s="2"/>
      <c r="G53" s="3"/>
      <c r="H53" s="2" t="n">
        <f aca="false">SUM(B53:E53)</f>
        <v>16</v>
      </c>
      <c r="I53" s="4" t="n">
        <f aca="false">AVERAGE(B53:E53)</f>
        <v>4</v>
      </c>
      <c r="J53" s="2" t="n">
        <f aca="false">SUM(B53:F53)</f>
        <v>16</v>
      </c>
      <c r="K53" s="4" t="n">
        <f aca="false">AVERAGE(B53:F53)</f>
        <v>4</v>
      </c>
      <c r="L53" s="2" t="e">
        <f aca="false">rank.eq(I53,$I$2:$I$78,0)+COUNTIF($I$2:I53,I53)-1</f>
        <v>#NAME?</v>
      </c>
    </row>
    <row r="54" customFormat="false" ht="15" hidden="false" customHeight="false" outlineLevel="0" collapsed="false">
      <c r="A54" s="2" t="n">
        <v>53</v>
      </c>
      <c r="B54" s="2" t="n">
        <v>3</v>
      </c>
      <c r="C54" s="2" t="n">
        <v>1</v>
      </c>
      <c r="D54" s="2" t="n">
        <v>3</v>
      </c>
      <c r="E54" s="2" t="n">
        <v>5</v>
      </c>
      <c r="F54" s="2"/>
      <c r="G54" s="3"/>
      <c r="H54" s="2" t="n">
        <f aca="false">SUM(B54:E54)</f>
        <v>12</v>
      </c>
      <c r="I54" s="4" t="n">
        <f aca="false">AVERAGE(B54:E54)</f>
        <v>3</v>
      </c>
      <c r="J54" s="2" t="n">
        <f aca="false">SUM(B54:F54)</f>
        <v>12</v>
      </c>
      <c r="K54" s="4" t="n">
        <f aca="false">AVERAGE(B54:F54)</f>
        <v>3</v>
      </c>
      <c r="L54" s="2" t="e">
        <f aca="false">rank.eq(I54,$I$2:$I$78,0)+COUNTIF($I$2:I54,I54)-1</f>
        <v>#NAME?</v>
      </c>
    </row>
    <row r="55" customFormat="false" ht="15" hidden="false" customHeight="false" outlineLevel="0" collapsed="false">
      <c r="A55" s="2" t="n">
        <v>54</v>
      </c>
      <c r="B55" s="2" t="n">
        <v>3</v>
      </c>
      <c r="C55" s="2" t="n">
        <v>4</v>
      </c>
      <c r="D55" s="2" t="n">
        <v>2</v>
      </c>
      <c r="E55" s="2" t="n">
        <v>4</v>
      </c>
      <c r="F55" s="2"/>
      <c r="G55" s="3"/>
      <c r="H55" s="2" t="n">
        <f aca="false">SUM(B55:E55)</f>
        <v>13</v>
      </c>
      <c r="I55" s="4" t="n">
        <f aca="false">AVERAGE(B55:E55)</f>
        <v>3.25</v>
      </c>
      <c r="J55" s="2" t="n">
        <f aca="false">SUM(B55:F55)</f>
        <v>13</v>
      </c>
      <c r="K55" s="4" t="n">
        <f aca="false">AVERAGE(B55:F55)</f>
        <v>3.25</v>
      </c>
      <c r="L55" s="2" t="e">
        <f aca="false">rank.eq(I55,$I$2:$I$78,0)+COUNTIF($I$2:I55,I55)-1</f>
        <v>#NAME?</v>
      </c>
    </row>
    <row r="56" customFormat="false" ht="15" hidden="false" customHeight="false" outlineLevel="0" collapsed="false">
      <c r="A56" s="2" t="n">
        <v>55</v>
      </c>
      <c r="B56" s="2" t="n">
        <v>5</v>
      </c>
      <c r="C56" s="2" t="n">
        <v>5</v>
      </c>
      <c r="D56" s="2" t="n">
        <v>2</v>
      </c>
      <c r="E56" s="2" t="n">
        <v>5</v>
      </c>
      <c r="F56" s="2" t="n">
        <v>4</v>
      </c>
      <c r="G56" s="3"/>
      <c r="H56" s="2" t="n">
        <f aca="false">SUM(B56:E56)</f>
        <v>17</v>
      </c>
      <c r="I56" s="4" t="n">
        <f aca="false">AVERAGE(B56:E56)</f>
        <v>4.25</v>
      </c>
      <c r="J56" s="2" t="n">
        <f aca="false">SUM(B56:F56)</f>
        <v>21</v>
      </c>
      <c r="K56" s="4" t="n">
        <f aca="false">AVERAGE(B56:F56)</f>
        <v>4.2</v>
      </c>
      <c r="L56" s="2" t="e">
        <f aca="false">rank.eq(I56,$I$2:$I$78,0)+COUNTIF($I$2:I56,I56)-1</f>
        <v>#NAME?</v>
      </c>
    </row>
    <row r="57" customFormat="false" ht="15" hidden="false" customHeight="false" outlineLevel="0" collapsed="false">
      <c r="A57" s="2" t="n">
        <v>56</v>
      </c>
      <c r="B57" s="2" t="n">
        <v>5</v>
      </c>
      <c r="C57" s="2" t="n">
        <v>5</v>
      </c>
      <c r="D57" s="2" t="n">
        <v>2</v>
      </c>
      <c r="E57" s="2" t="n">
        <v>5</v>
      </c>
      <c r="F57" s="2" t="n">
        <v>4</v>
      </c>
      <c r="G57" s="3"/>
      <c r="H57" s="2" t="n">
        <f aca="false">SUM(B57:E57)</f>
        <v>17</v>
      </c>
      <c r="I57" s="4" t="n">
        <f aca="false">AVERAGE(B57:E57)</f>
        <v>4.25</v>
      </c>
      <c r="J57" s="2" t="n">
        <f aca="false">SUM(B57:F57)</f>
        <v>21</v>
      </c>
      <c r="K57" s="4" t="n">
        <f aca="false">AVERAGE(B57:F57)</f>
        <v>4.2</v>
      </c>
      <c r="L57" s="2" t="e">
        <f aca="false">rank.eq(I57,$I$2:$I$78,0)+COUNTIF($I$2:I57,I57)-1</f>
        <v>#NAME?</v>
      </c>
    </row>
    <row r="58" customFormat="false" ht="15" hidden="false" customHeight="false" outlineLevel="0" collapsed="false">
      <c r="A58" s="2" t="n">
        <v>57</v>
      </c>
      <c r="B58" s="2" t="n">
        <v>3</v>
      </c>
      <c r="C58" s="2" t="n">
        <v>3</v>
      </c>
      <c r="D58" s="2" t="n">
        <v>4</v>
      </c>
      <c r="E58" s="2" t="n">
        <v>5</v>
      </c>
      <c r="F58" s="2"/>
      <c r="G58" s="3"/>
      <c r="H58" s="2" t="n">
        <f aca="false">SUM(B58:E58)</f>
        <v>15</v>
      </c>
      <c r="I58" s="4" t="n">
        <f aca="false">AVERAGE(B58:E58)</f>
        <v>3.75</v>
      </c>
      <c r="J58" s="2" t="n">
        <f aca="false">SUM(B58:F58)</f>
        <v>15</v>
      </c>
      <c r="K58" s="4" t="n">
        <f aca="false">AVERAGE(B58:F58)</f>
        <v>3.75</v>
      </c>
      <c r="L58" s="2" t="e">
        <f aca="false">rank.eq(I58,$I$2:$I$78,0)+COUNTIF($I$2:I58,I58)-1</f>
        <v>#NAME?</v>
      </c>
    </row>
    <row r="59" customFormat="false" ht="15" hidden="false" customHeight="false" outlineLevel="0" collapsed="false">
      <c r="A59" s="2" t="n">
        <v>58</v>
      </c>
      <c r="B59" s="2" t="n">
        <v>2</v>
      </c>
      <c r="C59" s="2" t="n">
        <v>3</v>
      </c>
      <c r="D59" s="2" t="n">
        <v>3</v>
      </c>
      <c r="E59" s="2" t="n">
        <v>5</v>
      </c>
      <c r="F59" s="2"/>
      <c r="G59" s="3"/>
      <c r="H59" s="2" t="n">
        <f aca="false">SUM(B59:E59)</f>
        <v>13</v>
      </c>
      <c r="I59" s="4" t="n">
        <f aca="false">AVERAGE(B59:E59)</f>
        <v>3.25</v>
      </c>
      <c r="J59" s="2" t="n">
        <f aca="false">SUM(B59:F59)</f>
        <v>13</v>
      </c>
      <c r="K59" s="4" t="n">
        <f aca="false">AVERAGE(B59:F59)</f>
        <v>3.25</v>
      </c>
      <c r="L59" s="2" t="e">
        <f aca="false">rank.eq(I59,$I$2:$I$78,0)+COUNTIF($I$2:I59,I59)-1</f>
        <v>#NAME?</v>
      </c>
    </row>
    <row r="60" customFormat="false" ht="15" hidden="false" customHeight="false" outlineLevel="0" collapsed="false">
      <c r="A60" s="2" t="n">
        <v>59</v>
      </c>
      <c r="B60" s="2" t="n">
        <v>5</v>
      </c>
      <c r="C60" s="2" t="n">
        <v>5</v>
      </c>
      <c r="D60" s="2" t="n">
        <v>3</v>
      </c>
      <c r="E60" s="2" t="n">
        <v>4</v>
      </c>
      <c r="F60" s="2"/>
      <c r="G60" s="3"/>
      <c r="H60" s="2" t="n">
        <f aca="false">SUM(B60:E60)</f>
        <v>17</v>
      </c>
      <c r="I60" s="4" t="n">
        <f aca="false">AVERAGE(B60:E60)</f>
        <v>4.25</v>
      </c>
      <c r="J60" s="2" t="n">
        <f aca="false">SUM(B60:F60)</f>
        <v>17</v>
      </c>
      <c r="K60" s="4" t="n">
        <f aca="false">AVERAGE(B60:F60)</f>
        <v>4.25</v>
      </c>
      <c r="L60" s="2" t="e">
        <f aca="false">rank.eq(I60,$I$2:$I$78,0)+COUNTIF($I$2:I60,I60)-1</f>
        <v>#NAME?</v>
      </c>
    </row>
    <row r="61" customFormat="false" ht="15" hidden="false" customHeight="false" outlineLevel="0" collapsed="false">
      <c r="A61" s="2" t="n">
        <v>60</v>
      </c>
      <c r="B61" s="2" t="n">
        <v>3</v>
      </c>
      <c r="C61" s="2" t="n">
        <v>4</v>
      </c>
      <c r="D61" s="2" t="n">
        <v>4</v>
      </c>
      <c r="E61" s="2" t="n">
        <v>5</v>
      </c>
      <c r="F61" s="2"/>
      <c r="G61" s="3"/>
      <c r="H61" s="2" t="n">
        <f aca="false">SUM(B61:E61)</f>
        <v>16</v>
      </c>
      <c r="I61" s="4" t="n">
        <f aca="false">AVERAGE(B61:E61)</f>
        <v>4</v>
      </c>
      <c r="J61" s="2" t="n">
        <f aca="false">SUM(B61:F61)</f>
        <v>16</v>
      </c>
      <c r="K61" s="4" t="n">
        <f aca="false">AVERAGE(B61:F61)</f>
        <v>4</v>
      </c>
      <c r="L61" s="2" t="e">
        <f aca="false">rank.eq(I61,$I$2:$I$78,0)+COUNTIF($I$2:I61,I61)-1</f>
        <v>#NAME?</v>
      </c>
    </row>
    <row r="62" customFormat="false" ht="15" hidden="false" customHeight="false" outlineLevel="0" collapsed="false">
      <c r="A62" s="2" t="n">
        <v>61</v>
      </c>
      <c r="B62" s="2" t="n">
        <v>3</v>
      </c>
      <c r="C62" s="2" t="n">
        <v>3</v>
      </c>
      <c r="D62" s="2" t="n">
        <v>2</v>
      </c>
      <c r="E62" s="2" t="n">
        <v>5</v>
      </c>
      <c r="F62" s="2"/>
      <c r="G62" s="3"/>
      <c r="H62" s="2" t="n">
        <f aca="false">SUM(B62:E62)</f>
        <v>13</v>
      </c>
      <c r="I62" s="4" t="n">
        <f aca="false">AVERAGE(B62:E62)</f>
        <v>3.25</v>
      </c>
      <c r="J62" s="2" t="n">
        <f aca="false">SUM(B62:F62)</f>
        <v>13</v>
      </c>
      <c r="K62" s="4" t="n">
        <f aca="false">AVERAGE(B62:F62)</f>
        <v>3.25</v>
      </c>
      <c r="L62" s="2" t="e">
        <f aca="false">rank.eq(I62,$I$2:$I$78,0)+COUNTIF($I$2:I62,I62)-1</f>
        <v>#NAME?</v>
      </c>
    </row>
    <row r="63" customFormat="false" ht="15" hidden="false" customHeight="false" outlineLevel="0" collapsed="false">
      <c r="A63" s="2" t="n">
        <v>62</v>
      </c>
      <c r="B63" s="2" t="n">
        <v>4</v>
      </c>
      <c r="C63" s="2" t="n">
        <v>5</v>
      </c>
      <c r="D63" s="2" t="n">
        <v>2</v>
      </c>
      <c r="E63" s="2" t="n">
        <v>5</v>
      </c>
      <c r="F63" s="2" t="n">
        <v>4</v>
      </c>
      <c r="G63" s="3"/>
      <c r="H63" s="2" t="n">
        <f aca="false">SUM(B63:E63)</f>
        <v>16</v>
      </c>
      <c r="I63" s="4" t="n">
        <f aca="false">AVERAGE(B63:E63)</f>
        <v>4</v>
      </c>
      <c r="J63" s="2" t="n">
        <f aca="false">SUM(B63:F63)</f>
        <v>20</v>
      </c>
      <c r="K63" s="4" t="n">
        <f aca="false">AVERAGE(B63:F63)</f>
        <v>4</v>
      </c>
      <c r="L63" s="2" t="e">
        <f aca="false">rank.eq(I63,$I$2:$I$78,0)+COUNTIF($I$2:I63,I63)-1</f>
        <v>#NAME?</v>
      </c>
    </row>
    <row r="64" customFormat="false" ht="15" hidden="false" customHeight="false" outlineLevel="0" collapsed="false">
      <c r="A64" s="2" t="n">
        <v>63</v>
      </c>
      <c r="B64" s="2" t="n">
        <v>5</v>
      </c>
      <c r="C64" s="2" t="n">
        <v>5</v>
      </c>
      <c r="D64" s="2" t="n">
        <v>3</v>
      </c>
      <c r="E64" s="2" t="n">
        <v>5</v>
      </c>
      <c r="F64" s="2" t="n">
        <v>4</v>
      </c>
      <c r="G64" s="3"/>
      <c r="H64" s="2" t="n">
        <f aca="false">SUM(B64:E64)</f>
        <v>18</v>
      </c>
      <c r="I64" s="4" t="n">
        <f aca="false">AVERAGE(B64:E64)</f>
        <v>4.5</v>
      </c>
      <c r="J64" s="2" t="n">
        <f aca="false">SUM(B64:F64)</f>
        <v>22</v>
      </c>
      <c r="K64" s="4" t="n">
        <f aca="false">AVERAGE(B64:F64)</f>
        <v>4.4</v>
      </c>
      <c r="L64" s="2" t="e">
        <f aca="false">rank.eq(I64,$I$2:$I$78,0)+COUNTIF($I$2:I64,I64)-1</f>
        <v>#NAME?</v>
      </c>
    </row>
    <row r="65" customFormat="false" ht="15" hidden="false" customHeight="false" outlineLevel="0" collapsed="false">
      <c r="A65" s="2" t="n">
        <v>64</v>
      </c>
      <c r="B65" s="2" t="n">
        <v>3</v>
      </c>
      <c r="C65" s="2" t="n">
        <v>4</v>
      </c>
      <c r="D65" s="2" t="n">
        <v>5</v>
      </c>
      <c r="E65" s="2" t="n">
        <v>5</v>
      </c>
      <c r="F65" s="2"/>
      <c r="G65" s="3"/>
      <c r="H65" s="2" t="n">
        <f aca="false">SUM(B65:E65)</f>
        <v>17</v>
      </c>
      <c r="I65" s="4" t="n">
        <f aca="false">AVERAGE(B65:E65)</f>
        <v>4.25</v>
      </c>
      <c r="J65" s="2" t="n">
        <f aca="false">SUM(B65:F65)</f>
        <v>17</v>
      </c>
      <c r="K65" s="4" t="n">
        <f aca="false">AVERAGE(B65:F65)</f>
        <v>4.25</v>
      </c>
      <c r="L65" s="2" t="e">
        <f aca="false">rank.eq(I65,$I$2:$I$78,0)+COUNTIF($I$2:I65,I65)-1</f>
        <v>#NAME?</v>
      </c>
    </row>
    <row r="66" customFormat="false" ht="15" hidden="false" customHeight="false" outlineLevel="0" collapsed="false">
      <c r="A66" s="2" t="n">
        <v>65</v>
      </c>
      <c r="B66" s="2" t="n">
        <v>2</v>
      </c>
      <c r="C66" s="2" t="n">
        <v>3</v>
      </c>
      <c r="D66" s="2" t="n">
        <v>5</v>
      </c>
      <c r="E66" s="2" t="n">
        <v>5</v>
      </c>
      <c r="F66" s="2"/>
      <c r="G66" s="3"/>
      <c r="H66" s="2" t="n">
        <f aca="false">SUM(B66:E66)</f>
        <v>15</v>
      </c>
      <c r="I66" s="4" t="n">
        <f aca="false">AVERAGE(B66:E66)</f>
        <v>3.75</v>
      </c>
      <c r="J66" s="2" t="n">
        <f aca="false">SUM(B66:F66)</f>
        <v>15</v>
      </c>
      <c r="K66" s="4" t="n">
        <f aca="false">AVERAGE(B66:F66)</f>
        <v>3.75</v>
      </c>
      <c r="L66" s="2" t="e">
        <f aca="false">rank.eq(I66,$I$2:$I$78,0)+COUNTIF($I$2:I66,I66)-1</f>
        <v>#NAME?</v>
      </c>
    </row>
    <row r="67" customFormat="false" ht="15" hidden="false" customHeight="false" outlineLevel="0" collapsed="false">
      <c r="A67" s="2" t="n">
        <v>66</v>
      </c>
      <c r="B67" s="2" t="n">
        <v>5</v>
      </c>
      <c r="C67" s="2" t="n">
        <v>4</v>
      </c>
      <c r="D67" s="2" t="n">
        <v>4</v>
      </c>
      <c r="E67" s="2" t="n">
        <v>5</v>
      </c>
      <c r="F67" s="2"/>
      <c r="G67" s="3"/>
      <c r="H67" s="2" t="n">
        <f aca="false">SUM(B67:E67)</f>
        <v>18</v>
      </c>
      <c r="I67" s="4" t="n">
        <f aca="false">AVERAGE(B67:E67)</f>
        <v>4.5</v>
      </c>
      <c r="J67" s="2" t="n">
        <f aca="false">SUM(B67:F67)</f>
        <v>18</v>
      </c>
      <c r="K67" s="4" t="n">
        <f aca="false">AVERAGE(B67:F67)</f>
        <v>4.5</v>
      </c>
      <c r="L67" s="2" t="e">
        <f aca="false">rank.eq(I67,$I$2:$I$78,0)+COUNTIF($I$2:I67,I67)-1</f>
        <v>#NAME?</v>
      </c>
    </row>
    <row r="68" customFormat="false" ht="15" hidden="false" customHeight="false" outlineLevel="0" collapsed="false">
      <c r="A68" s="2" t="n">
        <v>67</v>
      </c>
      <c r="B68" s="2" t="n">
        <v>3</v>
      </c>
      <c r="C68" s="2" t="n">
        <v>4</v>
      </c>
      <c r="D68" s="2" t="n">
        <v>5</v>
      </c>
      <c r="E68" s="2" t="n">
        <v>5</v>
      </c>
      <c r="F68" s="2"/>
      <c r="G68" s="3"/>
      <c r="H68" s="2" t="n">
        <f aca="false">SUM(B68:E68)</f>
        <v>17</v>
      </c>
      <c r="I68" s="4" t="n">
        <f aca="false">AVERAGE(B68:E68)</f>
        <v>4.25</v>
      </c>
      <c r="J68" s="2" t="n">
        <f aca="false">SUM(B68:F68)</f>
        <v>17</v>
      </c>
      <c r="K68" s="4" t="n">
        <f aca="false">AVERAGE(B68:F68)</f>
        <v>4.25</v>
      </c>
      <c r="L68" s="2" t="e">
        <f aca="false">rank.eq(I68,$I$2:$I$78,0)+COUNTIF($I$2:I68,I68)-1</f>
        <v>#NAME?</v>
      </c>
    </row>
    <row r="69" customFormat="false" ht="15" hidden="false" customHeight="false" outlineLevel="0" collapsed="false">
      <c r="A69" s="2" t="n">
        <v>68</v>
      </c>
      <c r="B69" s="2" t="n">
        <v>4</v>
      </c>
      <c r="C69" s="2" t="n">
        <v>4</v>
      </c>
      <c r="D69" s="2" t="n">
        <v>4</v>
      </c>
      <c r="E69" s="2" t="n">
        <v>5</v>
      </c>
      <c r="F69" s="2"/>
      <c r="G69" s="3"/>
      <c r="H69" s="2" t="n">
        <f aca="false">SUM(B69:E69)</f>
        <v>17</v>
      </c>
      <c r="I69" s="4" t="n">
        <f aca="false">AVERAGE(B69:E69)</f>
        <v>4.25</v>
      </c>
      <c r="J69" s="2" t="n">
        <f aca="false">SUM(B69:F69)</f>
        <v>17</v>
      </c>
      <c r="K69" s="4" t="n">
        <f aca="false">AVERAGE(B69:F69)</f>
        <v>4.25</v>
      </c>
      <c r="L69" s="2" t="e">
        <f aca="false">rank.eq(I69,$I$2:$I$78,0)+COUNTIF($I$2:I69,I69)-1</f>
        <v>#NAME?</v>
      </c>
    </row>
    <row r="70" customFormat="false" ht="15" hidden="false" customHeight="false" outlineLevel="0" collapsed="false">
      <c r="A70" s="2" t="n">
        <v>69</v>
      </c>
      <c r="B70" s="2" t="n">
        <v>5</v>
      </c>
      <c r="C70" s="2" t="n">
        <v>5</v>
      </c>
      <c r="D70" s="2" t="n">
        <v>4</v>
      </c>
      <c r="E70" s="2" t="n">
        <v>5</v>
      </c>
      <c r="F70" s="2" t="n">
        <v>5</v>
      </c>
      <c r="G70" s="3"/>
      <c r="H70" s="2" t="n">
        <f aca="false">SUM(B70:E70)</f>
        <v>19</v>
      </c>
      <c r="I70" s="4" t="n">
        <f aca="false">AVERAGE(B70:E70)</f>
        <v>4.75</v>
      </c>
      <c r="J70" s="2" t="n">
        <f aca="false">SUM(B70:F70)</f>
        <v>24</v>
      </c>
      <c r="K70" s="4" t="n">
        <f aca="false">AVERAGE(B70:F70)</f>
        <v>4.8</v>
      </c>
      <c r="L70" s="2" t="e">
        <f aca="false">rank.eq(I70,$I$2:$I$78,0)+COUNTIF($I$2:I70,I70)-1</f>
        <v>#NAME?</v>
      </c>
    </row>
    <row r="71" customFormat="false" ht="15" hidden="false" customHeight="false" outlineLevel="0" collapsed="false">
      <c r="A71" s="2" t="n">
        <v>70</v>
      </c>
      <c r="B71" s="2" t="n">
        <v>5</v>
      </c>
      <c r="C71" s="2" t="n">
        <v>4</v>
      </c>
      <c r="D71" s="2" t="n">
        <v>5</v>
      </c>
      <c r="E71" s="2" t="n">
        <v>5</v>
      </c>
      <c r="F71" s="2" t="n">
        <v>5</v>
      </c>
      <c r="G71" s="3"/>
      <c r="H71" s="2" t="n">
        <f aca="false">SUM(B71:E71)</f>
        <v>19</v>
      </c>
      <c r="I71" s="4" t="n">
        <f aca="false">AVERAGE(B71:E71)</f>
        <v>4.75</v>
      </c>
      <c r="J71" s="2" t="n">
        <f aca="false">SUM(B71:F71)</f>
        <v>24</v>
      </c>
      <c r="K71" s="4" t="n">
        <f aca="false">AVERAGE(B71:F71)</f>
        <v>4.8</v>
      </c>
      <c r="L71" s="2" t="e">
        <f aca="false">rank.eq(I71,$I$2:$I$78,0)+COUNTIF($I$2:I71,I71)-1</f>
        <v>#NAME?</v>
      </c>
    </row>
    <row r="72" customFormat="false" ht="15" hidden="false" customHeight="false" outlineLevel="0" collapsed="false">
      <c r="A72" s="2" t="n">
        <v>71</v>
      </c>
      <c r="B72" s="2" t="n">
        <v>2</v>
      </c>
      <c r="C72" s="2" t="n">
        <v>2</v>
      </c>
      <c r="D72" s="2" t="n">
        <v>2</v>
      </c>
      <c r="E72" s="2" t="n">
        <v>4</v>
      </c>
      <c r="F72" s="2"/>
      <c r="G72" s="3"/>
      <c r="H72" s="2" t="n">
        <f aca="false">SUM(B72:E72)</f>
        <v>10</v>
      </c>
      <c r="I72" s="4" t="n">
        <f aca="false">AVERAGE(B72:E72)</f>
        <v>2.5</v>
      </c>
      <c r="J72" s="2" t="n">
        <f aca="false">SUM(B72:F72)</f>
        <v>10</v>
      </c>
      <c r="K72" s="4" t="n">
        <f aca="false">AVERAGE(B72:F72)</f>
        <v>2.5</v>
      </c>
      <c r="L72" s="2" t="e">
        <f aca="false">rank.eq(I72,$I$2:$I$78,0)+COUNTIF($I$2:I72,I72)-1</f>
        <v>#NAME?</v>
      </c>
    </row>
    <row r="73" customFormat="false" ht="15" hidden="false" customHeight="false" outlineLevel="0" collapsed="false">
      <c r="A73" s="2" t="n">
        <v>72</v>
      </c>
      <c r="B73" s="2" t="n">
        <v>4</v>
      </c>
      <c r="C73" s="2" t="n">
        <v>5</v>
      </c>
      <c r="D73" s="2" t="n">
        <v>3</v>
      </c>
      <c r="E73" s="2" t="n">
        <v>5</v>
      </c>
      <c r="F73" s="2"/>
      <c r="G73" s="3"/>
      <c r="H73" s="2" t="n">
        <f aca="false">SUM(B73:E73)</f>
        <v>17</v>
      </c>
      <c r="I73" s="4" t="n">
        <f aca="false">AVERAGE(B73:E73)</f>
        <v>4.25</v>
      </c>
      <c r="J73" s="2" t="n">
        <f aca="false">SUM(B73:F73)</f>
        <v>17</v>
      </c>
      <c r="K73" s="4" t="n">
        <f aca="false">AVERAGE(B73:F73)</f>
        <v>4.25</v>
      </c>
      <c r="L73" s="2" t="e">
        <f aca="false">rank.eq(I73,$I$2:$I$78,0)+COUNTIF($I$2:I73,I73)-1</f>
        <v>#NAME?</v>
      </c>
    </row>
    <row r="74" customFormat="false" ht="15" hidden="false" customHeight="false" outlineLevel="0" collapsed="false">
      <c r="A74" s="2" t="n">
        <v>73</v>
      </c>
      <c r="B74" s="2" t="n">
        <v>3</v>
      </c>
      <c r="C74" s="2" t="n">
        <v>3</v>
      </c>
      <c r="D74" s="2" t="n">
        <v>5</v>
      </c>
      <c r="E74" s="2" t="n">
        <v>5</v>
      </c>
      <c r="F74" s="2"/>
      <c r="G74" s="3"/>
      <c r="H74" s="2" t="n">
        <f aca="false">SUM(B74:E74)</f>
        <v>16</v>
      </c>
      <c r="I74" s="4" t="n">
        <f aca="false">AVERAGE(B74:E74)</f>
        <v>4</v>
      </c>
      <c r="J74" s="2" t="n">
        <f aca="false">SUM(B74:F74)</f>
        <v>16</v>
      </c>
      <c r="K74" s="4" t="n">
        <f aca="false">AVERAGE(B74:F74)</f>
        <v>4</v>
      </c>
      <c r="L74" s="2" t="e">
        <f aca="false">rank.eq(I74,$I$2:$I$78,0)+COUNTIF($I$2:I74,I74)-1</f>
        <v>#NAME?</v>
      </c>
    </row>
    <row r="75" customFormat="false" ht="15" hidden="false" customHeight="false" outlineLevel="0" collapsed="false">
      <c r="A75" s="2" t="n">
        <v>74</v>
      </c>
      <c r="B75" s="2" t="n">
        <v>1</v>
      </c>
      <c r="C75" s="2" t="n">
        <v>3</v>
      </c>
      <c r="D75" s="2" t="n">
        <v>2</v>
      </c>
      <c r="E75" s="2" t="n">
        <v>4</v>
      </c>
      <c r="F75" s="2"/>
      <c r="G75" s="3"/>
      <c r="H75" s="2" t="n">
        <f aca="false">SUM(B75:E75)</f>
        <v>10</v>
      </c>
      <c r="I75" s="4" t="n">
        <f aca="false">AVERAGE(B75:E75)</f>
        <v>2.5</v>
      </c>
      <c r="J75" s="2" t="n">
        <f aca="false">SUM(B75:F75)</f>
        <v>10</v>
      </c>
      <c r="K75" s="4" t="n">
        <f aca="false">AVERAGE(B75:F75)</f>
        <v>2.5</v>
      </c>
      <c r="L75" s="2" t="e">
        <f aca="false">rank.eq(I75,$I$2:$I$78,0)+COUNTIF($I$2:I75,I75)-1</f>
        <v>#NAME?</v>
      </c>
    </row>
    <row r="76" customFormat="false" ht="15" hidden="false" customHeight="false" outlineLevel="0" collapsed="false">
      <c r="A76" s="2" t="n">
        <v>75</v>
      </c>
      <c r="B76" s="2" t="n">
        <v>0</v>
      </c>
      <c r="C76" s="2" t="n">
        <v>3</v>
      </c>
      <c r="D76" s="2" t="n">
        <v>4</v>
      </c>
      <c r="E76" s="2" t="n">
        <v>5</v>
      </c>
      <c r="F76" s="2"/>
      <c r="G76" s="3"/>
      <c r="H76" s="2" t="n">
        <f aca="false">SUM(B76:E76)</f>
        <v>12</v>
      </c>
      <c r="I76" s="4" t="n">
        <f aca="false">AVERAGE(B76:E76)</f>
        <v>3</v>
      </c>
      <c r="J76" s="2" t="n">
        <f aca="false">SUM(B76:F76)</f>
        <v>12</v>
      </c>
      <c r="K76" s="4" t="n">
        <f aca="false">AVERAGE(B76:F76)</f>
        <v>3</v>
      </c>
      <c r="L76" s="2" t="e">
        <f aca="false">rank.eq(I76,$I$2:$I$78,0)+COUNTIF($I$2:I76,I76)-1</f>
        <v>#NAME?</v>
      </c>
    </row>
    <row r="77" customFormat="false" ht="15" hidden="false" customHeight="false" outlineLevel="0" collapsed="false">
      <c r="A77" s="2" t="n">
        <v>76</v>
      </c>
      <c r="B77" s="2" t="n">
        <v>3</v>
      </c>
      <c r="C77" s="2" t="n">
        <v>3</v>
      </c>
      <c r="D77" s="2" t="n">
        <v>3</v>
      </c>
      <c r="E77" s="2" t="n">
        <v>4</v>
      </c>
      <c r="F77" s="2" t="n">
        <v>3</v>
      </c>
      <c r="G77" s="3"/>
      <c r="H77" s="2" t="n">
        <f aca="false">SUM(B77:E77)</f>
        <v>13</v>
      </c>
      <c r="I77" s="4" t="n">
        <f aca="false">AVERAGE(B77:E77)</f>
        <v>3.25</v>
      </c>
      <c r="J77" s="2" t="n">
        <f aca="false">SUM(B77:F77)</f>
        <v>16</v>
      </c>
      <c r="K77" s="4" t="n">
        <f aca="false">AVERAGE(B77:F77)</f>
        <v>3.2</v>
      </c>
      <c r="L77" s="2" t="e">
        <f aca="false">rank.eq(I77,$I$2:$I$78,0)+COUNTIF($I$2:I77,I77)-1</f>
        <v>#NAME?</v>
      </c>
    </row>
    <row r="78" customFormat="false" ht="15" hidden="false" customHeight="false" outlineLevel="0" collapsed="false">
      <c r="A78" s="2" t="n">
        <v>77</v>
      </c>
      <c r="B78" s="2" t="n">
        <v>4</v>
      </c>
      <c r="C78" s="2" t="n">
        <v>4</v>
      </c>
      <c r="D78" s="2" t="n">
        <v>1</v>
      </c>
      <c r="E78" s="2" t="n">
        <v>5</v>
      </c>
      <c r="F78" s="2" t="n">
        <v>3</v>
      </c>
      <c r="G78" s="3"/>
      <c r="H78" s="2" t="n">
        <f aca="false">SUM(B78:E78)</f>
        <v>14</v>
      </c>
      <c r="I78" s="4" t="n">
        <f aca="false">AVERAGE(B78:E78)</f>
        <v>3.5</v>
      </c>
      <c r="J78" s="2" t="n">
        <f aca="false">SUM(B78:F78)</f>
        <v>17</v>
      </c>
      <c r="K78" s="4" t="n">
        <f aca="false">AVERAGE(B78:F78)</f>
        <v>3.4</v>
      </c>
      <c r="L78" s="2" t="e">
        <f aca="false">rank.eq(I78,$I$2:$I$78,0)+COUNTIF($I$2:I78,I78)-1</f>
        <v>#NAME?</v>
      </c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customFormat="false" ht="15" hidden="false" customHeight="false" outlineLevel="0" collapsed="false">
      <c r="A80" s="6" t="s">
        <v>18</v>
      </c>
      <c r="B80" s="6" t="n">
        <f aca="false">SUM(B$2:B$78)</f>
        <v>253</v>
      </c>
      <c r="C80" s="6" t="n">
        <f aca="false">SUM(C$2:C$78)</f>
        <v>276</v>
      </c>
      <c r="D80" s="6" t="n">
        <f aca="false">SUM(D$2:D$78)</f>
        <v>265</v>
      </c>
      <c r="E80" s="6" t="n">
        <f aca="false">SUM(E$2:E$78)</f>
        <v>369</v>
      </c>
      <c r="F80" s="6" t="n">
        <f aca="false">SUM(F$2:F$78)</f>
        <v>72</v>
      </c>
      <c r="G80" s="6"/>
      <c r="H80" s="6" t="n">
        <f aca="false">SUM(H$2:H$78)</f>
        <v>1163</v>
      </c>
      <c r="I80" s="6" t="n">
        <f aca="false">SUM(I$2:I$78)</f>
        <v>290.75</v>
      </c>
      <c r="J80" s="6" t="n">
        <f aca="false">SUM(J$2:J$78)</f>
        <v>1235</v>
      </c>
      <c r="K80" s="6" t="n">
        <f aca="false">SUM(K$2:K$78)</f>
        <v>287.4</v>
      </c>
      <c r="L80" s="6"/>
    </row>
    <row r="81" customFormat="false" ht="15" hidden="false" customHeight="false" outlineLevel="0" collapsed="false">
      <c r="A81" s="6" t="s">
        <v>19</v>
      </c>
      <c r="B81" s="7" t="n">
        <f aca="false">AVERAGE(B$2:B$78)</f>
        <v>3.28571428571429</v>
      </c>
      <c r="C81" s="7" t="n">
        <f aca="false">AVERAGE(C$2:C$78)</f>
        <v>3.58441558441558</v>
      </c>
      <c r="D81" s="7" t="n">
        <f aca="false">AVERAGE(D$2:D$78)</f>
        <v>3.44155844155844</v>
      </c>
      <c r="E81" s="7" t="n">
        <f aca="false">AVERAGE(E$2:E$78)</f>
        <v>4.79220779220779</v>
      </c>
      <c r="F81" s="7" t="n">
        <f aca="false">AVERAGE(F$2:F$78)</f>
        <v>3.27272727272727</v>
      </c>
      <c r="G81" s="7"/>
      <c r="H81" s="7" t="n">
        <f aca="false">AVERAGE(H$2:H$78)</f>
        <v>15.1038961038961</v>
      </c>
      <c r="I81" s="7" t="n">
        <f aca="false">AVERAGE(I$2:I$78)</f>
        <v>3.77597402597403</v>
      </c>
      <c r="J81" s="7" t="n">
        <f aca="false">AVERAGE(J$2:J$78)</f>
        <v>16.038961038961</v>
      </c>
      <c r="K81" s="7" t="n">
        <f aca="false">AVERAGE(K$2:K$78)</f>
        <v>3.73246753246753</v>
      </c>
      <c r="L81" s="6"/>
    </row>
    <row r="82" customFormat="false" ht="15" hidden="false" customHeight="false" outlineLevel="0" collapsed="false">
      <c r="A82" s="6" t="s">
        <v>20</v>
      </c>
      <c r="B82" s="8" t="n">
        <f aca="false">COUNT(B$2:B$78)</f>
        <v>77</v>
      </c>
      <c r="C82" s="8" t="n">
        <f aca="false">COUNT(C$2:C$78)</f>
        <v>77</v>
      </c>
      <c r="D82" s="8" t="n">
        <f aca="false">COUNT(D$2:D$78)</f>
        <v>77</v>
      </c>
      <c r="E82" s="8" t="n">
        <f aca="false">COUNT(E$2:E$78)</f>
        <v>77</v>
      </c>
      <c r="F82" s="8" t="n">
        <f aca="false">COUNT(F$2:F$78)</f>
        <v>22</v>
      </c>
      <c r="G82" s="8"/>
      <c r="H82" s="8" t="n">
        <f aca="false">COUNT(H$2:H$78)</f>
        <v>77</v>
      </c>
      <c r="I82" s="8" t="n">
        <f aca="false">COUNT(I$2:I$78)</f>
        <v>77</v>
      </c>
      <c r="J82" s="8" t="n">
        <f aca="false">COUNT(J$2:J$78)</f>
        <v>77</v>
      </c>
      <c r="K82" s="8" t="n">
        <f aca="false">COUNT(K$2:K$78)</f>
        <v>77</v>
      </c>
      <c r="L82" s="6"/>
    </row>
  </sheetData>
  <conditionalFormatting sqref="B2:F78">
    <cfRule type="colorScale" priority="2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conditionalFormatting sqref="I2:I78">
    <cfRule type="dataBar" priority="3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{5D9D1F41-106F-43DD-8771-401990DDA765}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9D1F41-106F-43DD-8771-401990DDA765}">
            <x14:dataBar minLength="10" maxLength="90" axisPosition="automatic" gradient="true">
              <x14:cfvo type="min"/>
              <x14:cfvo type="max"/>
              <x14:negativeFillColor rgb="FF5B9BD5"/>
              <x14:axisColor rgb="FF000000"/>
            </x14:dataBar>
          </x14:cfRule>
          <xm:sqref>I2:I78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3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3"/>
    <col collapsed="false" customWidth="true" hidden="false" outlineLevel="0" max="13" min="6" style="0" width="14"/>
    <col collapsed="false" customWidth="true" hidden="false" outlineLevel="0" max="14" min="14" style="0" width="3"/>
    <col collapsed="false" customWidth="true" hidden="false" outlineLevel="0" max="22" min="15" style="0" width="14"/>
  </cols>
  <sheetData>
    <row r="1" customFormat="false" ht="28" hidden="false" customHeight="true" outlineLevel="0" collapsed="false">
      <c r="A1" s="9" t="s">
        <v>21</v>
      </c>
      <c r="B1" s="9"/>
      <c r="C1" s="9"/>
      <c r="D1" s="9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customFormat="false" ht="15" hidden="false" customHeight="fals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customFormat="false" ht="15" hidden="false" customHeight="false" outlineLevel="0" collapsed="false">
      <c r="A3" s="1" t="s">
        <v>22</v>
      </c>
      <c r="B3" s="1" t="s">
        <v>23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customFormat="false" ht="15" hidden="false" customHeight="false" outlineLevel="0" collapsed="false">
      <c r="A4" s="5" t="s">
        <v>24</v>
      </c>
      <c r="B4" s="2" t="n">
        <f aca="false">COUNTA(Bewertung!$A$2:$A$78)</f>
        <v>77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customFormat="false" ht="15" hidden="false" customHeight="false" outlineLevel="0" collapsed="false">
      <c r="A5" s="5" t="s">
        <v>8</v>
      </c>
      <c r="B5" s="4" t="n">
        <f aca="false">AVERAGE(Bewertung!$I$2:$I$78)</f>
        <v>3.77597402597403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customFormat="false" ht="15" hidden="false" customHeight="false" outlineLevel="0" collapsed="false">
      <c r="A6" s="5" t="s">
        <v>10</v>
      </c>
      <c r="B6" s="4" t="n">
        <f aca="false">AVERAGE(Bewertung!$K$2:$K$78)</f>
        <v>3.73246753246753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customFormat="false" ht="15" hidden="false" customHeight="false" outlineLevel="0" collapsed="false">
      <c r="A7" s="5" t="s">
        <v>25</v>
      </c>
      <c r="B7" s="2" t="n">
        <f aca="false">COUNT(Bewertung!$F$2:$F$78)</f>
        <v>22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customFormat="false" ht="15" hidden="false" customHeight="false" outlineLevel="0" collapsed="false">
      <c r="A9" s="1" t="s">
        <v>26</v>
      </c>
      <c r="B9" s="1" t="s">
        <v>27</v>
      </c>
      <c r="C9" s="1" t="s">
        <v>28</v>
      </c>
      <c r="D9" s="1" t="s">
        <v>29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customFormat="false" ht="15" hidden="false" customHeight="false" outlineLevel="0" collapsed="false">
      <c r="A10" s="5" t="s">
        <v>30</v>
      </c>
      <c r="B10" s="2" t="n">
        <f aca="false">Bewertung!$B$82</f>
        <v>77</v>
      </c>
      <c r="C10" s="2" t="n">
        <f aca="false">Bewertung!$B$80</f>
        <v>253</v>
      </c>
      <c r="D10" s="4" t="n">
        <f aca="false">Bewertung!$B$81</f>
        <v>3.28571428571429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customFormat="false" ht="15" hidden="false" customHeight="false" outlineLevel="0" collapsed="false">
      <c r="A11" s="5" t="s">
        <v>31</v>
      </c>
      <c r="B11" s="2" t="n">
        <f aca="false">Bewertung!$C$82</f>
        <v>77</v>
      </c>
      <c r="C11" s="2" t="n">
        <f aca="false">Bewertung!$C$80</f>
        <v>276</v>
      </c>
      <c r="D11" s="4" t="n">
        <f aca="false">Bewertung!$C$81</f>
        <v>3.58441558441558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customFormat="false" ht="15" hidden="false" customHeight="false" outlineLevel="0" collapsed="false">
      <c r="A12" s="5" t="s">
        <v>32</v>
      </c>
      <c r="B12" s="2" t="n">
        <f aca="false">Bewertung!$D$82</f>
        <v>77</v>
      </c>
      <c r="C12" s="2" t="n">
        <f aca="false">Bewertung!$D$80</f>
        <v>265</v>
      </c>
      <c r="D12" s="4" t="n">
        <f aca="false">Bewertung!$D$81</f>
        <v>3.44155844155844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customFormat="false" ht="15" hidden="false" customHeight="false" outlineLevel="0" collapsed="false">
      <c r="A13" s="5" t="s">
        <v>33</v>
      </c>
      <c r="B13" s="2" t="n">
        <f aca="false">Bewertung!$E$82</f>
        <v>77</v>
      </c>
      <c r="C13" s="2" t="n">
        <f aca="false">Bewertung!$E$80</f>
        <v>369</v>
      </c>
      <c r="D13" s="4" t="n">
        <f aca="false">Bewertung!$E$81</f>
        <v>4.79220779220779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customFormat="false" ht="15" hidden="false" customHeight="false" outlineLevel="0" collapsed="false">
      <c r="A14" s="5" t="s">
        <v>34</v>
      </c>
      <c r="B14" s="2" t="n">
        <f aca="false">Bewertung!$F$82</f>
        <v>22</v>
      </c>
      <c r="C14" s="2" t="n">
        <f aca="false">Bewertung!$F$80</f>
        <v>72</v>
      </c>
      <c r="D14" s="4" t="n">
        <f aca="false">Bewertung!$F$81</f>
        <v>3.27272727272727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customFormat="false" ht="23.55" hidden="false" customHeight="false" outlineLevel="0" collapsed="false">
      <c r="A39" s="10" t="s">
        <v>35</v>
      </c>
      <c r="B39" s="10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customFormat="false" ht="15" hidden="false" customHeight="false" outlineLevel="0" collapsed="false">
      <c r="A40" s="1" t="s">
        <v>36</v>
      </c>
      <c r="B40" s="1" t="s">
        <v>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customFormat="false" ht="15" hidden="false" customHeight="false" outlineLevel="0" collapsed="false">
      <c r="A41" s="5" t="e">
        <f aca="false">INDEX(Bewertung!$A$2:$A$78,MATCH(ROW(A1),Bewertung!$L$2:$L$78,0))</f>
        <v>#N/A</v>
      </c>
      <c r="B41" s="4" t="e">
        <f aca="false">INDEX(Bewertung!$I$2:$I$78,MATCH(ROW(A1),Bewertung!$L$2:$L$78,0))</f>
        <v>#N/A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customFormat="false" ht="15" hidden="false" customHeight="false" outlineLevel="0" collapsed="false">
      <c r="A42" s="5" t="e">
        <f aca="false">INDEX(Bewertung!$A$2:$A$78,MATCH(ROW(A2),Bewertung!$L$2:$L$78,0))</f>
        <v>#N/A</v>
      </c>
      <c r="B42" s="4" t="e">
        <f aca="false">INDEX(Bewertung!$I$2:$I$78,MATCH(ROW(A2),Bewertung!$L$2:$L$78,0))</f>
        <v>#N/A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customFormat="false" ht="15" hidden="false" customHeight="false" outlineLevel="0" collapsed="false">
      <c r="A43" s="5" t="e">
        <f aca="false">INDEX(Bewertung!$A$2:$A$78,MATCH(ROW(A3),Bewertung!$L$2:$L$78,0))</f>
        <v>#N/A</v>
      </c>
      <c r="B43" s="4" t="e">
        <f aca="false">INDEX(Bewertung!$I$2:$I$78,MATCH(ROW(A3),Bewertung!$L$2:$L$78,0))</f>
        <v>#N/A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customFormat="false" ht="15" hidden="false" customHeight="false" outlineLevel="0" collapsed="false">
      <c r="A44" s="5" t="e">
        <f aca="false">INDEX(Bewertung!$A$2:$A$78,MATCH(ROW(A4),Bewertung!$L$2:$L$78,0))</f>
        <v>#N/A</v>
      </c>
      <c r="B44" s="4" t="e">
        <f aca="false">INDEX(Bewertung!$I$2:$I$78,MATCH(ROW(A4),Bewertung!$L$2:$L$78,0))</f>
        <v>#N/A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customFormat="false" ht="15" hidden="false" customHeight="false" outlineLevel="0" collapsed="false">
      <c r="A45" s="5" t="e">
        <f aca="false">INDEX(Bewertung!$A$2:$A$78,MATCH(ROW(A5),Bewertung!$L$2:$L$78,0))</f>
        <v>#N/A</v>
      </c>
      <c r="B45" s="4" t="e">
        <f aca="false">INDEX(Bewertung!$I$2:$I$78,MATCH(ROW(A5),Bewertung!$L$2:$L$78,0))</f>
        <v>#N/A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customFormat="false" ht="15" hidden="false" customHeight="false" outlineLevel="0" collapsed="false">
      <c r="A46" s="5" t="e">
        <f aca="false">INDEX(Bewertung!$A$2:$A$78,MATCH(ROW(A6),Bewertung!$L$2:$L$78,0))</f>
        <v>#N/A</v>
      </c>
      <c r="B46" s="4" t="e">
        <f aca="false">INDEX(Bewertung!$I$2:$I$78,MATCH(ROW(A6),Bewertung!$L$2:$L$78,0))</f>
        <v>#N/A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customFormat="false" ht="15" hidden="false" customHeight="false" outlineLevel="0" collapsed="false">
      <c r="A47" s="5" t="e">
        <f aca="false">INDEX(Bewertung!$A$2:$A$78,MATCH(ROW(A7),Bewertung!$L$2:$L$78,0))</f>
        <v>#N/A</v>
      </c>
      <c r="B47" s="4" t="e">
        <f aca="false">INDEX(Bewertung!$I$2:$I$78,MATCH(ROW(A7),Bewertung!$L$2:$L$78,0))</f>
        <v>#N/A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customFormat="false" ht="15" hidden="false" customHeight="false" outlineLevel="0" collapsed="false">
      <c r="A48" s="5" t="e">
        <f aca="false">INDEX(Bewertung!$A$2:$A$78,MATCH(ROW(A8),Bewertung!$L$2:$L$78,0))</f>
        <v>#N/A</v>
      </c>
      <c r="B48" s="4" t="e">
        <f aca="false">INDEX(Bewertung!$I$2:$I$78,MATCH(ROW(A8),Bewertung!$L$2:$L$78,0))</f>
        <v>#N/A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customFormat="false" ht="15" hidden="false" customHeight="false" outlineLevel="0" collapsed="false">
      <c r="A49" s="5" t="e">
        <f aca="false">INDEX(Bewertung!$A$2:$A$78,MATCH(ROW(A9),Bewertung!$L$2:$L$78,0))</f>
        <v>#N/A</v>
      </c>
      <c r="B49" s="4" t="e">
        <f aca="false">INDEX(Bewertung!$I$2:$I$78,MATCH(ROW(A9),Bewertung!$L$2:$L$78,0))</f>
        <v>#N/A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customFormat="false" ht="15" hidden="false" customHeight="false" outlineLevel="0" collapsed="false">
      <c r="A50" s="5" t="e">
        <f aca="false">INDEX(Bewertung!$A$2:$A$78,MATCH(ROW(A10),Bewertung!$L$2:$L$78,0))</f>
        <v>#N/A</v>
      </c>
      <c r="B50" s="4" t="e">
        <f aca="false">INDEX(Bewertung!$I$2:$I$78,MATCH(ROW(A10),Bewertung!$L$2:$L$78,0))</f>
        <v>#N/A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customFormat="false" ht="46.05" hidden="false" customHeight="false" outlineLevel="0" collapsed="false">
      <c r="A53" s="1" t="s">
        <v>36</v>
      </c>
      <c r="B53" s="1" t="s">
        <v>37</v>
      </c>
      <c r="C53" s="1" t="s">
        <v>31</v>
      </c>
      <c r="D53" s="1" t="s">
        <v>32</v>
      </c>
      <c r="E53" s="1" t="s">
        <v>33</v>
      </c>
      <c r="F53" s="1" t="s">
        <v>38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customFormat="false" ht="15" hidden="false" customHeight="false" outlineLevel="0" collapsed="false">
      <c r="A54" s="5" t="n">
        <f aca="false">Bewertung!A2</f>
        <v>1</v>
      </c>
      <c r="B54" s="4" t="n">
        <f aca="false">Bewertung!B2</f>
        <v>4</v>
      </c>
      <c r="C54" s="4" t="n">
        <f aca="false">Bewertung!C2</f>
        <v>3</v>
      </c>
      <c r="D54" s="4" t="n">
        <f aca="false">Bewertung!D2</f>
        <v>5</v>
      </c>
      <c r="E54" s="4" t="n">
        <f aca="false">Bewertung!E2</f>
        <v>5</v>
      </c>
      <c r="F54" s="4" t="n">
        <f aca="false">Bewertung!I2</f>
        <v>4.25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customFormat="false" ht="15" hidden="false" customHeight="false" outlineLevel="0" collapsed="false">
      <c r="A55" s="5" t="n">
        <f aca="false">Bewertung!A3</f>
        <v>2</v>
      </c>
      <c r="B55" s="4" t="n">
        <f aca="false">Bewertung!B3</f>
        <v>3</v>
      </c>
      <c r="C55" s="4" t="n">
        <f aca="false">Bewertung!C3</f>
        <v>3</v>
      </c>
      <c r="D55" s="4" t="n">
        <f aca="false">Bewertung!D3</f>
        <v>5</v>
      </c>
      <c r="E55" s="4" t="n">
        <f aca="false">Bewertung!E3</f>
        <v>5</v>
      </c>
      <c r="F55" s="4" t="n">
        <f aca="false">Bewertung!I3</f>
        <v>4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customFormat="false" ht="15" hidden="false" customHeight="false" outlineLevel="0" collapsed="false">
      <c r="A56" s="5" t="n">
        <f aca="false">Bewertung!A4</f>
        <v>3</v>
      </c>
      <c r="B56" s="4" t="n">
        <f aca="false">Bewertung!B4</f>
        <v>3</v>
      </c>
      <c r="C56" s="4" t="n">
        <f aca="false">Bewertung!C4</f>
        <v>2</v>
      </c>
      <c r="D56" s="4" t="n">
        <f aca="false">Bewertung!D4</f>
        <v>4</v>
      </c>
      <c r="E56" s="4" t="n">
        <f aca="false">Bewertung!E4</f>
        <v>5</v>
      </c>
      <c r="F56" s="4" t="n">
        <f aca="false">Bewertung!I4</f>
        <v>3.5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customFormat="false" ht="15" hidden="false" customHeight="false" outlineLevel="0" collapsed="false">
      <c r="A57" s="5" t="n">
        <f aca="false">Bewertung!A5</f>
        <v>4</v>
      </c>
      <c r="B57" s="4" t="n">
        <f aca="false">Bewertung!B5</f>
        <v>3</v>
      </c>
      <c r="C57" s="4" t="n">
        <f aca="false">Bewertung!C5</f>
        <v>3</v>
      </c>
      <c r="D57" s="4" t="n">
        <f aca="false">Bewertung!D5</f>
        <v>4</v>
      </c>
      <c r="E57" s="4" t="n">
        <f aca="false">Bewertung!E5</f>
        <v>5</v>
      </c>
      <c r="F57" s="4" t="n">
        <f aca="false">Bewertung!I5</f>
        <v>3.75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customFormat="false" ht="15" hidden="false" customHeight="false" outlineLevel="0" collapsed="false">
      <c r="A58" s="5" t="n">
        <f aca="false">Bewertung!A6</f>
        <v>5</v>
      </c>
      <c r="B58" s="4" t="n">
        <f aca="false">Bewertung!B6</f>
        <v>2</v>
      </c>
      <c r="C58" s="4" t="n">
        <f aca="false">Bewertung!C6</f>
        <v>4</v>
      </c>
      <c r="D58" s="4" t="n">
        <f aca="false">Bewertung!D6</f>
        <v>3</v>
      </c>
      <c r="E58" s="4" t="n">
        <f aca="false">Bewertung!E6</f>
        <v>5</v>
      </c>
      <c r="F58" s="4" t="n">
        <f aca="false">Bewertung!I6</f>
        <v>3.5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customFormat="false" ht="15" hidden="false" customHeight="false" outlineLevel="0" collapsed="false">
      <c r="A59" s="5" t="n">
        <f aca="false">Bewertung!A7</f>
        <v>6</v>
      </c>
      <c r="B59" s="4" t="n">
        <f aca="false">Bewertung!B7</f>
        <v>3</v>
      </c>
      <c r="C59" s="4" t="n">
        <f aca="false">Bewertung!C7</f>
        <v>1</v>
      </c>
      <c r="D59" s="4" t="n">
        <f aca="false">Bewertung!D7</f>
        <v>3</v>
      </c>
      <c r="E59" s="4" t="n">
        <f aca="false">Bewertung!E7</f>
        <v>5</v>
      </c>
      <c r="F59" s="4" t="n">
        <f aca="false">Bewertung!I7</f>
        <v>3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customFormat="false" ht="15" hidden="false" customHeight="false" outlineLevel="0" collapsed="false">
      <c r="A60" s="5" t="n">
        <f aca="false">Bewertung!A8</f>
        <v>7</v>
      </c>
      <c r="B60" s="4" t="n">
        <f aca="false">Bewertung!B8</f>
        <v>2</v>
      </c>
      <c r="C60" s="4" t="n">
        <f aca="false">Bewertung!C8</f>
        <v>2</v>
      </c>
      <c r="D60" s="4" t="n">
        <f aca="false">Bewertung!D8</f>
        <v>3</v>
      </c>
      <c r="E60" s="4" t="n">
        <f aca="false">Bewertung!E8</f>
        <v>5</v>
      </c>
      <c r="F60" s="4" t="n">
        <f aca="false">Bewertung!I8</f>
        <v>3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customFormat="false" ht="15" hidden="false" customHeight="false" outlineLevel="0" collapsed="false">
      <c r="A61" s="5" t="n">
        <f aca="false">Bewertung!A9</f>
        <v>8</v>
      </c>
      <c r="B61" s="4" t="n">
        <f aca="false">Bewertung!B9</f>
        <v>3</v>
      </c>
      <c r="C61" s="4" t="n">
        <f aca="false">Bewertung!C9</f>
        <v>3</v>
      </c>
      <c r="D61" s="4" t="n">
        <f aca="false">Bewertung!D9</f>
        <v>2</v>
      </c>
      <c r="E61" s="4" t="n">
        <f aca="false">Bewertung!E9</f>
        <v>5</v>
      </c>
      <c r="F61" s="4" t="n">
        <f aca="false">Bewertung!I9</f>
        <v>3.25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customFormat="false" ht="15" hidden="false" customHeight="false" outlineLevel="0" collapsed="false">
      <c r="A62" s="5" t="n">
        <f aca="false">Bewertung!A10</f>
        <v>9</v>
      </c>
      <c r="B62" s="4" t="n">
        <f aca="false">Bewertung!B10</f>
        <v>3</v>
      </c>
      <c r="C62" s="4" t="n">
        <f aca="false">Bewertung!C10</f>
        <v>4</v>
      </c>
      <c r="D62" s="4" t="n">
        <f aca="false">Bewertung!D10</f>
        <v>4</v>
      </c>
      <c r="E62" s="4" t="n">
        <f aca="false">Bewertung!E10</f>
        <v>5</v>
      </c>
      <c r="F62" s="4" t="n">
        <f aca="false">Bewertung!I10</f>
        <v>4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customFormat="false" ht="15" hidden="false" customHeight="false" outlineLevel="0" collapsed="false">
      <c r="A63" s="5" t="n">
        <f aca="false">Bewertung!A11</f>
        <v>10</v>
      </c>
      <c r="B63" s="4" t="n">
        <f aca="false">Bewertung!B11</f>
        <v>3</v>
      </c>
      <c r="C63" s="4" t="n">
        <f aca="false">Bewertung!C11</f>
        <v>4</v>
      </c>
      <c r="D63" s="4" t="n">
        <f aca="false">Bewertung!D11</f>
        <v>2</v>
      </c>
      <c r="E63" s="4" t="n">
        <f aca="false">Bewertung!E11</f>
        <v>4</v>
      </c>
      <c r="F63" s="4" t="n">
        <f aca="false">Bewertung!I11</f>
        <v>3.25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customFormat="false" ht="15" hidden="false" customHeight="false" outlineLevel="0" collapsed="false">
      <c r="A64" s="5" t="n">
        <f aca="false">Bewertung!A12</f>
        <v>11</v>
      </c>
      <c r="B64" s="4" t="n">
        <f aca="false">Bewertung!B12</f>
        <v>3</v>
      </c>
      <c r="C64" s="4" t="n">
        <f aca="false">Bewertung!C12</f>
        <v>2</v>
      </c>
      <c r="D64" s="4" t="n">
        <f aca="false">Bewertung!D12</f>
        <v>4</v>
      </c>
      <c r="E64" s="4" t="n">
        <f aca="false">Bewertung!E12</f>
        <v>5</v>
      </c>
      <c r="F64" s="4" t="n">
        <f aca="false">Bewertung!I12</f>
        <v>3.5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customFormat="false" ht="15" hidden="false" customHeight="false" outlineLevel="0" collapsed="false">
      <c r="A65" s="5" t="n">
        <f aca="false">Bewertung!A13</f>
        <v>12</v>
      </c>
      <c r="B65" s="4" t="n">
        <f aca="false">Bewertung!B13</f>
        <v>4</v>
      </c>
      <c r="C65" s="4" t="n">
        <f aca="false">Bewertung!C13</f>
        <v>3</v>
      </c>
      <c r="D65" s="4" t="n">
        <f aca="false">Bewertung!D13</f>
        <v>4</v>
      </c>
      <c r="E65" s="4" t="n">
        <f aca="false">Bewertung!E13</f>
        <v>5</v>
      </c>
      <c r="F65" s="4" t="n">
        <f aca="false">Bewertung!I13</f>
        <v>4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customFormat="false" ht="15" hidden="false" customHeight="false" outlineLevel="0" collapsed="false">
      <c r="A66" s="5" t="n">
        <f aca="false">Bewertung!A14</f>
        <v>13</v>
      </c>
      <c r="B66" s="4" t="n">
        <f aca="false">Bewertung!B14</f>
        <v>4</v>
      </c>
      <c r="C66" s="4" t="n">
        <f aca="false">Bewertung!C14</f>
        <v>4</v>
      </c>
      <c r="D66" s="4" t="n">
        <f aca="false">Bewertung!D14</f>
        <v>3</v>
      </c>
      <c r="E66" s="4" t="n">
        <f aca="false">Bewertung!E14</f>
        <v>5</v>
      </c>
      <c r="F66" s="4" t="n">
        <f aca="false">Bewertung!I14</f>
        <v>4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customFormat="false" ht="15" hidden="false" customHeight="false" outlineLevel="0" collapsed="false">
      <c r="A67" s="5" t="n">
        <f aca="false">Bewertung!A15</f>
        <v>14</v>
      </c>
      <c r="B67" s="4" t="n">
        <f aca="false">Bewertung!B15</f>
        <v>4</v>
      </c>
      <c r="C67" s="4" t="n">
        <f aca="false">Bewertung!C15</f>
        <v>3</v>
      </c>
      <c r="D67" s="4" t="n">
        <f aca="false">Bewertung!D15</f>
        <v>4</v>
      </c>
      <c r="E67" s="4" t="n">
        <f aca="false">Bewertung!E15</f>
        <v>5</v>
      </c>
      <c r="F67" s="4" t="n">
        <f aca="false">Bewertung!I15</f>
        <v>4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customFormat="false" ht="15" hidden="false" customHeight="false" outlineLevel="0" collapsed="false">
      <c r="A68" s="5" t="n">
        <f aca="false">Bewertung!A16</f>
        <v>15</v>
      </c>
      <c r="B68" s="4" t="n">
        <f aca="false">Bewertung!B16</f>
        <v>3</v>
      </c>
      <c r="C68" s="4" t="n">
        <f aca="false">Bewertung!C16</f>
        <v>2</v>
      </c>
      <c r="D68" s="4" t="n">
        <f aca="false">Bewertung!D16</f>
        <v>2</v>
      </c>
      <c r="E68" s="4" t="n">
        <f aca="false">Bewertung!E16</f>
        <v>5</v>
      </c>
      <c r="F68" s="4" t="n">
        <f aca="false">Bewertung!I16</f>
        <v>3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customFormat="false" ht="15" hidden="false" customHeight="false" outlineLevel="0" collapsed="false">
      <c r="A69" s="5" t="n">
        <f aca="false">Bewertung!A17</f>
        <v>16</v>
      </c>
      <c r="B69" s="4" t="n">
        <f aca="false">Bewertung!B17</f>
        <v>3</v>
      </c>
      <c r="C69" s="4" t="n">
        <f aca="false">Bewertung!C17</f>
        <v>3</v>
      </c>
      <c r="D69" s="4" t="n">
        <f aca="false">Bewertung!D17</f>
        <v>4</v>
      </c>
      <c r="E69" s="4" t="n">
        <f aca="false">Bewertung!E17</f>
        <v>5</v>
      </c>
      <c r="F69" s="4" t="n">
        <f aca="false">Bewertung!I17</f>
        <v>3.75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customFormat="false" ht="15" hidden="false" customHeight="false" outlineLevel="0" collapsed="false">
      <c r="A70" s="5" t="n">
        <f aca="false">Bewertung!A18</f>
        <v>17</v>
      </c>
      <c r="B70" s="4" t="n">
        <f aca="false">Bewertung!B18</f>
        <v>5</v>
      </c>
      <c r="C70" s="4" t="n">
        <f aca="false">Bewertung!C18</f>
        <v>5</v>
      </c>
      <c r="D70" s="4" t="n">
        <f aca="false">Bewertung!D18</f>
        <v>4</v>
      </c>
      <c r="E70" s="4" t="n">
        <f aca="false">Bewertung!E18</f>
        <v>5</v>
      </c>
      <c r="F70" s="4" t="n">
        <f aca="false">Bewertung!I18</f>
        <v>4.75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customFormat="false" ht="15" hidden="false" customHeight="false" outlineLevel="0" collapsed="false">
      <c r="A71" s="5" t="n">
        <f aca="false">Bewertung!A19</f>
        <v>18</v>
      </c>
      <c r="B71" s="4" t="n">
        <f aca="false">Bewertung!B19</f>
        <v>3</v>
      </c>
      <c r="C71" s="4" t="n">
        <f aca="false">Bewertung!C19</f>
        <v>3</v>
      </c>
      <c r="D71" s="4" t="n">
        <f aca="false">Bewertung!D19</f>
        <v>3</v>
      </c>
      <c r="E71" s="4" t="n">
        <f aca="false">Bewertung!E19</f>
        <v>5</v>
      </c>
      <c r="F71" s="4" t="n">
        <f aca="false">Bewertung!I19</f>
        <v>3.5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customFormat="false" ht="15" hidden="false" customHeight="false" outlineLevel="0" collapsed="false">
      <c r="A72" s="5" t="n">
        <f aca="false">Bewertung!A20</f>
        <v>19</v>
      </c>
      <c r="B72" s="4" t="n">
        <f aca="false">Bewertung!B20</f>
        <v>2</v>
      </c>
      <c r="C72" s="4" t="n">
        <f aca="false">Bewertung!C20</f>
        <v>4</v>
      </c>
      <c r="D72" s="4" t="n">
        <f aca="false">Bewertung!D20</f>
        <v>0</v>
      </c>
      <c r="E72" s="4" t="n">
        <f aca="false">Bewertung!E20</f>
        <v>4</v>
      </c>
      <c r="F72" s="4" t="n">
        <f aca="false">Bewertung!I20</f>
        <v>2.5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customFormat="false" ht="15" hidden="false" customHeight="false" outlineLevel="0" collapsed="false">
      <c r="A73" s="5" t="n">
        <f aca="false">Bewertung!A21</f>
        <v>20</v>
      </c>
      <c r="B73" s="4" t="n">
        <f aca="false">Bewertung!B21</f>
        <v>3</v>
      </c>
      <c r="C73" s="4" t="n">
        <f aca="false">Bewertung!C21</f>
        <v>4</v>
      </c>
      <c r="D73" s="4" t="n">
        <f aca="false">Bewertung!D21</f>
        <v>4</v>
      </c>
      <c r="E73" s="4" t="n">
        <f aca="false">Bewertung!E21</f>
        <v>5</v>
      </c>
      <c r="F73" s="4" t="n">
        <f aca="false">Bewertung!I21</f>
        <v>4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customFormat="false" ht="15" hidden="false" customHeight="false" outlineLevel="0" collapsed="false">
      <c r="A74" s="5" t="n">
        <f aca="false">Bewertung!A22</f>
        <v>21</v>
      </c>
      <c r="B74" s="4" t="n">
        <f aca="false">Bewertung!B22</f>
        <v>5</v>
      </c>
      <c r="C74" s="4" t="n">
        <f aca="false">Bewertung!C22</f>
        <v>5</v>
      </c>
      <c r="D74" s="4" t="n">
        <f aca="false">Bewertung!D22</f>
        <v>4</v>
      </c>
      <c r="E74" s="4" t="n">
        <f aca="false">Bewertung!E22</f>
        <v>5</v>
      </c>
      <c r="F74" s="4" t="n">
        <f aca="false">Bewertung!I22</f>
        <v>4.75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customFormat="false" ht="15" hidden="false" customHeight="false" outlineLevel="0" collapsed="false">
      <c r="A75" s="5" t="n">
        <f aca="false">Bewertung!A23</f>
        <v>22</v>
      </c>
      <c r="B75" s="4" t="n">
        <f aca="false">Bewertung!B23</f>
        <v>2</v>
      </c>
      <c r="C75" s="4" t="n">
        <f aca="false">Bewertung!C23</f>
        <v>3</v>
      </c>
      <c r="D75" s="4" t="n">
        <f aca="false">Bewertung!D23</f>
        <v>3</v>
      </c>
      <c r="E75" s="4" t="n">
        <f aca="false">Bewertung!E23</f>
        <v>5</v>
      </c>
      <c r="F75" s="4" t="n">
        <f aca="false">Bewertung!I23</f>
        <v>3.25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customFormat="false" ht="15" hidden="false" customHeight="false" outlineLevel="0" collapsed="false">
      <c r="A76" s="5" t="n">
        <f aca="false">Bewertung!A24</f>
        <v>23</v>
      </c>
      <c r="B76" s="4" t="n">
        <f aca="false">Bewertung!B24</f>
        <v>2</v>
      </c>
      <c r="C76" s="4" t="n">
        <f aca="false">Bewertung!C24</f>
        <v>4</v>
      </c>
      <c r="D76" s="4" t="n">
        <f aca="false">Bewertung!D24</f>
        <v>2</v>
      </c>
      <c r="E76" s="4" t="n">
        <f aca="false">Bewertung!E24</f>
        <v>4</v>
      </c>
      <c r="F76" s="4" t="n">
        <f aca="false">Bewertung!I24</f>
        <v>3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customFormat="false" ht="15" hidden="false" customHeight="false" outlineLevel="0" collapsed="false">
      <c r="A77" s="5" t="n">
        <f aca="false">Bewertung!A25</f>
        <v>24</v>
      </c>
      <c r="B77" s="4" t="n">
        <f aca="false">Bewertung!B25</f>
        <v>2</v>
      </c>
      <c r="C77" s="4" t="n">
        <f aca="false">Bewertung!C25</f>
        <v>3</v>
      </c>
      <c r="D77" s="4" t="n">
        <f aca="false">Bewertung!D25</f>
        <v>5</v>
      </c>
      <c r="E77" s="4" t="n">
        <f aca="false">Bewertung!E25</f>
        <v>5</v>
      </c>
      <c r="F77" s="4" t="n">
        <f aca="false">Bewertung!I25</f>
        <v>3.75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customFormat="false" ht="15" hidden="false" customHeight="false" outlineLevel="0" collapsed="false">
      <c r="A78" s="5" t="n">
        <f aca="false">Bewertung!A26</f>
        <v>25</v>
      </c>
      <c r="B78" s="4" t="n">
        <f aca="false">Bewertung!B26</f>
        <v>4</v>
      </c>
      <c r="C78" s="4" t="n">
        <f aca="false">Bewertung!C26</f>
        <v>4</v>
      </c>
      <c r="D78" s="4" t="n">
        <f aca="false">Bewertung!D26</f>
        <v>4</v>
      </c>
      <c r="E78" s="4" t="n">
        <f aca="false">Bewertung!E26</f>
        <v>5</v>
      </c>
      <c r="F78" s="4" t="n">
        <f aca="false">Bewertung!I26</f>
        <v>4.25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customFormat="false" ht="15" hidden="false" customHeight="false" outlineLevel="0" collapsed="false">
      <c r="A79" s="5" t="n">
        <f aca="false">Bewertung!A27</f>
        <v>26</v>
      </c>
      <c r="B79" s="4" t="n">
        <f aca="false">Bewertung!B27</f>
        <v>4</v>
      </c>
      <c r="C79" s="4" t="n">
        <f aca="false">Bewertung!C27</f>
        <v>3</v>
      </c>
      <c r="D79" s="4" t="n">
        <f aca="false">Bewertung!D27</f>
        <v>5</v>
      </c>
      <c r="E79" s="4" t="n">
        <f aca="false">Bewertung!E27</f>
        <v>4</v>
      </c>
      <c r="F79" s="4" t="n">
        <f aca="false">Bewertung!I27</f>
        <v>4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customFormat="false" ht="15" hidden="false" customHeight="false" outlineLevel="0" collapsed="false">
      <c r="A80" s="5" t="n">
        <f aca="false">Bewertung!A28</f>
        <v>27</v>
      </c>
      <c r="B80" s="4" t="n">
        <f aca="false">Bewertung!B28</f>
        <v>4</v>
      </c>
      <c r="C80" s="4" t="n">
        <f aca="false">Bewertung!C28</f>
        <v>5</v>
      </c>
      <c r="D80" s="4" t="n">
        <f aca="false">Bewertung!D28</f>
        <v>3</v>
      </c>
      <c r="E80" s="4" t="n">
        <f aca="false">Bewertung!E28</f>
        <v>5</v>
      </c>
      <c r="F80" s="4" t="n">
        <f aca="false">Bewertung!I28</f>
        <v>4.25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customFormat="false" ht="15" hidden="false" customHeight="false" outlineLevel="0" collapsed="false">
      <c r="A81" s="5" t="n">
        <f aca="false">Bewertung!A29</f>
        <v>28</v>
      </c>
      <c r="B81" s="4" t="n">
        <f aca="false">Bewertung!B29</f>
        <v>3</v>
      </c>
      <c r="C81" s="4" t="n">
        <f aca="false">Bewertung!C29</f>
        <v>5</v>
      </c>
      <c r="D81" s="4" t="n">
        <f aca="false">Bewertung!D29</f>
        <v>3</v>
      </c>
      <c r="E81" s="4" t="n">
        <f aca="false">Bewertung!E29</f>
        <v>5</v>
      </c>
      <c r="F81" s="4" t="n">
        <f aca="false">Bewertung!I29</f>
        <v>4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customFormat="false" ht="15" hidden="false" customHeight="false" outlineLevel="0" collapsed="false">
      <c r="A82" s="5" t="n">
        <f aca="false">Bewertung!A30</f>
        <v>29</v>
      </c>
      <c r="B82" s="4" t="n">
        <f aca="false">Bewertung!B30</f>
        <v>1</v>
      </c>
      <c r="C82" s="4" t="n">
        <f aca="false">Bewertung!C30</f>
        <v>5</v>
      </c>
      <c r="D82" s="4" t="n">
        <f aca="false">Bewertung!D30</f>
        <v>4</v>
      </c>
      <c r="E82" s="4" t="n">
        <f aca="false">Bewertung!E30</f>
        <v>5</v>
      </c>
      <c r="F82" s="4" t="n">
        <f aca="false">Bewertung!I30</f>
        <v>3.75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customFormat="false" ht="15" hidden="false" customHeight="false" outlineLevel="0" collapsed="false">
      <c r="A83" s="5" t="n">
        <f aca="false">Bewertung!A31</f>
        <v>30</v>
      </c>
      <c r="B83" s="4" t="n">
        <f aca="false">Bewertung!B31</f>
        <v>4</v>
      </c>
      <c r="C83" s="4" t="n">
        <f aca="false">Bewertung!C31</f>
        <v>4</v>
      </c>
      <c r="D83" s="4" t="n">
        <f aca="false">Bewertung!D31</f>
        <v>3</v>
      </c>
      <c r="E83" s="4" t="n">
        <f aca="false">Bewertung!E31</f>
        <v>4</v>
      </c>
      <c r="F83" s="4" t="n">
        <f aca="false">Bewertung!I31</f>
        <v>3.75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customFormat="false" ht="15" hidden="false" customHeight="false" outlineLevel="0" collapsed="false">
      <c r="A84" s="5" t="n">
        <f aca="false">Bewertung!A32</f>
        <v>31</v>
      </c>
      <c r="B84" s="4" t="n">
        <f aca="false">Bewertung!B32</f>
        <v>3</v>
      </c>
      <c r="C84" s="4" t="n">
        <f aca="false">Bewertung!C32</f>
        <v>3</v>
      </c>
      <c r="D84" s="4" t="n">
        <f aca="false">Bewertung!D32</f>
        <v>3</v>
      </c>
      <c r="E84" s="4" t="n">
        <f aca="false">Bewertung!E32</f>
        <v>5</v>
      </c>
      <c r="F84" s="4" t="n">
        <f aca="false">Bewertung!I32</f>
        <v>3.5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customFormat="false" ht="15" hidden="false" customHeight="false" outlineLevel="0" collapsed="false">
      <c r="A85" s="5" t="n">
        <f aca="false">Bewertung!A33</f>
        <v>32</v>
      </c>
      <c r="B85" s="4" t="n">
        <f aca="false">Bewertung!B33</f>
        <v>3</v>
      </c>
      <c r="C85" s="4" t="n">
        <f aca="false">Bewertung!C33</f>
        <v>3</v>
      </c>
      <c r="D85" s="4" t="n">
        <f aca="false">Bewertung!D33</f>
        <v>5</v>
      </c>
      <c r="E85" s="4" t="n">
        <f aca="false">Bewertung!E33</f>
        <v>5</v>
      </c>
      <c r="F85" s="4" t="n">
        <f aca="false">Bewertung!I33</f>
        <v>4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customFormat="false" ht="15" hidden="false" customHeight="false" outlineLevel="0" collapsed="false">
      <c r="A86" s="5" t="n">
        <f aca="false">Bewertung!A34</f>
        <v>33</v>
      </c>
      <c r="B86" s="4" t="n">
        <f aca="false">Bewertung!B34</f>
        <v>2</v>
      </c>
      <c r="C86" s="4" t="n">
        <f aca="false">Bewertung!C34</f>
        <v>2</v>
      </c>
      <c r="D86" s="4" t="n">
        <f aca="false">Bewertung!D34</f>
        <v>5</v>
      </c>
      <c r="E86" s="4" t="n">
        <f aca="false">Bewertung!E34</f>
        <v>4</v>
      </c>
      <c r="F86" s="4" t="n">
        <f aca="false">Bewertung!I34</f>
        <v>3.25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customFormat="false" ht="15" hidden="false" customHeight="false" outlineLevel="0" collapsed="false">
      <c r="A87" s="5" t="n">
        <f aca="false">Bewertung!A35</f>
        <v>34</v>
      </c>
      <c r="B87" s="4" t="n">
        <f aca="false">Bewertung!B35</f>
        <v>5</v>
      </c>
      <c r="C87" s="4" t="n">
        <f aca="false">Bewertung!C35</f>
        <v>5</v>
      </c>
      <c r="D87" s="4" t="n">
        <f aca="false">Bewertung!D35</f>
        <v>3</v>
      </c>
      <c r="E87" s="4" t="n">
        <f aca="false">Bewertung!E35</f>
        <v>3</v>
      </c>
      <c r="F87" s="4" t="n">
        <f aca="false">Bewertung!I35</f>
        <v>4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customFormat="false" ht="15" hidden="false" customHeight="false" outlineLevel="0" collapsed="false">
      <c r="A88" s="5" t="n">
        <f aca="false">Bewertung!A36</f>
        <v>35</v>
      </c>
      <c r="B88" s="4" t="n">
        <f aca="false">Bewertung!B36</f>
        <v>5</v>
      </c>
      <c r="C88" s="4" t="n">
        <f aca="false">Bewertung!C36</f>
        <v>4</v>
      </c>
      <c r="D88" s="4" t="n">
        <f aca="false">Bewertung!D36</f>
        <v>3</v>
      </c>
      <c r="E88" s="4" t="n">
        <f aca="false">Bewertung!E36</f>
        <v>4</v>
      </c>
      <c r="F88" s="4" t="n">
        <f aca="false">Bewertung!I36</f>
        <v>4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customFormat="false" ht="15" hidden="false" customHeight="false" outlineLevel="0" collapsed="false">
      <c r="A89" s="5" t="n">
        <f aca="false">Bewertung!A37</f>
        <v>36</v>
      </c>
      <c r="B89" s="4" t="n">
        <f aca="false">Bewertung!B37</f>
        <v>2</v>
      </c>
      <c r="C89" s="4" t="n">
        <f aca="false">Bewertung!C37</f>
        <v>4</v>
      </c>
      <c r="D89" s="4" t="n">
        <f aca="false">Bewertung!D37</f>
        <v>4</v>
      </c>
      <c r="E89" s="4" t="n">
        <f aca="false">Bewertung!E37</f>
        <v>5</v>
      </c>
      <c r="F89" s="4" t="n">
        <f aca="false">Bewertung!I37</f>
        <v>3.75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customFormat="false" ht="15" hidden="false" customHeight="false" outlineLevel="0" collapsed="false">
      <c r="A90" s="5" t="n">
        <f aca="false">Bewertung!A38</f>
        <v>37</v>
      </c>
      <c r="B90" s="4" t="n">
        <f aca="false">Bewertung!B38</f>
        <v>2</v>
      </c>
      <c r="C90" s="4" t="n">
        <f aca="false">Bewertung!C38</f>
        <v>4</v>
      </c>
      <c r="D90" s="4" t="n">
        <f aca="false">Bewertung!D38</f>
        <v>4</v>
      </c>
      <c r="E90" s="4" t="n">
        <f aca="false">Bewertung!E38</f>
        <v>5</v>
      </c>
      <c r="F90" s="4" t="n">
        <f aca="false">Bewertung!I38</f>
        <v>3.75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customFormat="false" ht="15" hidden="false" customHeight="false" outlineLevel="0" collapsed="false">
      <c r="A91" s="5" t="n">
        <f aca="false">Bewertung!A39</f>
        <v>38</v>
      </c>
      <c r="B91" s="4" t="n">
        <f aca="false">Bewertung!B39</f>
        <v>3</v>
      </c>
      <c r="C91" s="4" t="n">
        <f aca="false">Bewertung!C39</f>
        <v>4</v>
      </c>
      <c r="D91" s="4" t="n">
        <f aca="false">Bewertung!D39</f>
        <v>4</v>
      </c>
      <c r="E91" s="4" t="n">
        <f aca="false">Bewertung!E39</f>
        <v>5</v>
      </c>
      <c r="F91" s="4" t="n">
        <f aca="false">Bewertung!I39</f>
        <v>4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customFormat="false" ht="15" hidden="false" customHeight="false" outlineLevel="0" collapsed="false">
      <c r="A92" s="5" t="n">
        <f aca="false">Bewertung!A40</f>
        <v>39</v>
      </c>
      <c r="B92" s="4" t="n">
        <f aca="false">Bewertung!B40</f>
        <v>5</v>
      </c>
      <c r="C92" s="4" t="n">
        <f aca="false">Bewertung!C40</f>
        <v>4</v>
      </c>
      <c r="D92" s="4" t="n">
        <f aca="false">Bewertung!D40</f>
        <v>4</v>
      </c>
      <c r="E92" s="4" t="n">
        <f aca="false">Bewertung!E40</f>
        <v>5</v>
      </c>
      <c r="F92" s="4" t="n">
        <f aca="false">Bewertung!I40</f>
        <v>4.5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customFormat="false" ht="15" hidden="false" customHeight="false" outlineLevel="0" collapsed="false">
      <c r="A93" s="5" t="n">
        <f aca="false">Bewertung!A41</f>
        <v>40</v>
      </c>
      <c r="B93" s="4" t="n">
        <f aca="false">Bewertung!B41</f>
        <v>3</v>
      </c>
      <c r="C93" s="4" t="n">
        <f aca="false">Bewertung!C41</f>
        <v>3</v>
      </c>
      <c r="D93" s="4" t="n">
        <f aca="false">Bewertung!D41</f>
        <v>5</v>
      </c>
      <c r="E93" s="4" t="n">
        <f aca="false">Bewertung!E41</f>
        <v>5</v>
      </c>
      <c r="F93" s="4" t="n">
        <f aca="false">Bewertung!I41</f>
        <v>4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customFormat="false" ht="15" hidden="false" customHeight="false" outlineLevel="0" collapsed="false">
      <c r="A94" s="5" t="n">
        <f aca="false">Bewertung!A42</f>
        <v>41</v>
      </c>
      <c r="B94" s="4" t="n">
        <f aca="false">Bewertung!B42</f>
        <v>3</v>
      </c>
      <c r="C94" s="4" t="n">
        <f aca="false">Bewertung!C42</f>
        <v>3</v>
      </c>
      <c r="D94" s="4" t="n">
        <f aca="false">Bewertung!D42</f>
        <v>5</v>
      </c>
      <c r="E94" s="4" t="n">
        <f aca="false">Bewertung!E42</f>
        <v>4</v>
      </c>
      <c r="F94" s="4" t="n">
        <f aca="false">Bewertung!I42</f>
        <v>3.75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customFormat="false" ht="15" hidden="false" customHeight="false" outlineLevel="0" collapsed="false">
      <c r="A95" s="5" t="n">
        <f aca="false">Bewertung!A43</f>
        <v>42</v>
      </c>
      <c r="B95" s="4" t="n">
        <f aca="false">Bewertung!B43</f>
        <v>5</v>
      </c>
      <c r="C95" s="4" t="n">
        <f aca="false">Bewertung!C43</f>
        <v>5</v>
      </c>
      <c r="D95" s="4" t="n">
        <f aca="false">Bewertung!D43</f>
        <v>3</v>
      </c>
      <c r="E95" s="4" t="n">
        <f aca="false">Bewertung!E43</f>
        <v>5</v>
      </c>
      <c r="F95" s="4" t="n">
        <f aca="false">Bewertung!I43</f>
        <v>4.5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customFormat="false" ht="15" hidden="false" customHeight="false" outlineLevel="0" collapsed="false">
      <c r="A96" s="5" t="n">
        <f aca="false">Bewertung!A44</f>
        <v>43</v>
      </c>
      <c r="B96" s="4" t="n">
        <f aca="false">Bewertung!B44</f>
        <v>3</v>
      </c>
      <c r="C96" s="4" t="n">
        <f aca="false">Bewertung!C44</f>
        <v>3</v>
      </c>
      <c r="D96" s="4" t="n">
        <f aca="false">Bewertung!D44</f>
        <v>3</v>
      </c>
      <c r="E96" s="4" t="n">
        <f aca="false">Bewertung!E44</f>
        <v>5</v>
      </c>
      <c r="F96" s="4" t="n">
        <f aca="false">Bewertung!I44</f>
        <v>3.5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customFormat="false" ht="15" hidden="false" customHeight="false" outlineLevel="0" collapsed="false">
      <c r="A97" s="5" t="n">
        <f aca="false">Bewertung!A45</f>
        <v>44</v>
      </c>
      <c r="B97" s="4" t="n">
        <f aca="false">Bewertung!B45</f>
        <v>4</v>
      </c>
      <c r="C97" s="4" t="n">
        <f aca="false">Bewertung!C45</f>
        <v>4</v>
      </c>
      <c r="D97" s="4" t="n">
        <f aca="false">Bewertung!D45</f>
        <v>1</v>
      </c>
      <c r="E97" s="4" t="n">
        <f aca="false">Bewertung!E45</f>
        <v>5</v>
      </c>
      <c r="F97" s="4" t="n">
        <f aca="false">Bewertung!I45</f>
        <v>3.5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customFormat="false" ht="15" hidden="false" customHeight="false" outlineLevel="0" collapsed="false">
      <c r="A98" s="5" t="n">
        <f aca="false">Bewertung!A46</f>
        <v>45</v>
      </c>
      <c r="B98" s="4" t="n">
        <f aca="false">Bewertung!B46</f>
        <v>4</v>
      </c>
      <c r="C98" s="4" t="n">
        <f aca="false">Bewertung!C46</f>
        <v>5</v>
      </c>
      <c r="D98" s="4" t="n">
        <f aca="false">Bewertung!D46</f>
        <v>5</v>
      </c>
      <c r="E98" s="4" t="n">
        <f aca="false">Bewertung!E46</f>
        <v>5</v>
      </c>
      <c r="F98" s="4" t="n">
        <f aca="false">Bewertung!I46</f>
        <v>4.75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customFormat="false" ht="15" hidden="false" customHeight="false" outlineLevel="0" collapsed="false">
      <c r="A99" s="5" t="n">
        <f aca="false">Bewertung!A47</f>
        <v>46</v>
      </c>
      <c r="B99" s="4" t="n">
        <f aca="false">Bewertung!B47</f>
        <v>1</v>
      </c>
      <c r="C99" s="4" t="n">
        <f aca="false">Bewertung!C47</f>
        <v>2</v>
      </c>
      <c r="D99" s="4" t="n">
        <f aca="false">Bewertung!D47</f>
        <v>3</v>
      </c>
      <c r="E99" s="4" t="n">
        <f aca="false">Bewertung!E47</f>
        <v>5</v>
      </c>
      <c r="F99" s="4" t="n">
        <f aca="false">Bewertung!I47</f>
        <v>2.75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customFormat="false" ht="15" hidden="false" customHeight="false" outlineLevel="0" collapsed="false">
      <c r="A100" s="5" t="n">
        <f aca="false">Bewertung!A48</f>
        <v>47</v>
      </c>
      <c r="B100" s="4" t="n">
        <f aca="false">Bewertung!B48</f>
        <v>4</v>
      </c>
      <c r="C100" s="4" t="n">
        <f aca="false">Bewertung!C48</f>
        <v>5</v>
      </c>
      <c r="D100" s="4" t="n">
        <f aca="false">Bewertung!D48</f>
        <v>3</v>
      </c>
      <c r="E100" s="4" t="n">
        <f aca="false">Bewertung!E48</f>
        <v>4</v>
      </c>
      <c r="F100" s="4" t="n">
        <f aca="false">Bewertung!I48</f>
        <v>4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customFormat="false" ht="15" hidden="false" customHeight="false" outlineLevel="0" collapsed="false">
      <c r="A101" s="5" t="n">
        <f aca="false">Bewertung!A49</f>
        <v>48</v>
      </c>
      <c r="B101" s="4" t="n">
        <f aca="false">Bewertung!B49</f>
        <v>5</v>
      </c>
      <c r="C101" s="4" t="n">
        <f aca="false">Bewertung!C49</f>
        <v>4</v>
      </c>
      <c r="D101" s="4" t="n">
        <f aca="false">Bewertung!D49</f>
        <v>2</v>
      </c>
      <c r="E101" s="4" t="n">
        <f aca="false">Bewertung!E49</f>
        <v>5</v>
      </c>
      <c r="F101" s="4" t="n">
        <f aca="false">Bewertung!I49</f>
        <v>4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customFormat="false" ht="15" hidden="false" customHeight="false" outlineLevel="0" collapsed="false">
      <c r="A102" s="5" t="n">
        <f aca="false">Bewertung!A50</f>
        <v>49</v>
      </c>
      <c r="B102" s="4" t="n">
        <f aca="false">Bewertung!B50</f>
        <v>5</v>
      </c>
      <c r="C102" s="4" t="n">
        <f aca="false">Bewertung!C50</f>
        <v>4</v>
      </c>
      <c r="D102" s="4" t="n">
        <f aca="false">Bewertung!D50</f>
        <v>3</v>
      </c>
      <c r="E102" s="4" t="n">
        <f aca="false">Bewertung!E50</f>
        <v>5</v>
      </c>
      <c r="F102" s="4" t="n">
        <f aca="false">Bewertung!I50</f>
        <v>4.25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customFormat="false" ht="15" hidden="false" customHeight="false" outlineLevel="0" collapsed="false">
      <c r="A103" s="5" t="n">
        <f aca="false">Bewertung!A51</f>
        <v>50</v>
      </c>
      <c r="B103" s="4" t="n">
        <f aca="false">Bewertung!B51</f>
        <v>2</v>
      </c>
      <c r="C103" s="4" t="n">
        <f aca="false">Bewertung!C51</f>
        <v>4</v>
      </c>
      <c r="D103" s="4" t="n">
        <f aca="false">Bewertung!D51</f>
        <v>3</v>
      </c>
      <c r="E103" s="4" t="n">
        <f aca="false">Bewertung!E51</f>
        <v>5</v>
      </c>
      <c r="F103" s="4" t="n">
        <f aca="false">Bewertung!I51</f>
        <v>3.5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customFormat="false" ht="15" hidden="false" customHeight="false" outlineLevel="0" collapsed="false">
      <c r="A104" s="5" t="n">
        <f aca="false">Bewertung!A52</f>
        <v>51</v>
      </c>
      <c r="B104" s="4" t="n">
        <f aca="false">Bewertung!B52</f>
        <v>2</v>
      </c>
      <c r="C104" s="4" t="n">
        <f aca="false">Bewertung!C52</f>
        <v>1</v>
      </c>
      <c r="D104" s="4" t="n">
        <f aca="false">Bewertung!D52</f>
        <v>4</v>
      </c>
      <c r="E104" s="4" t="n">
        <f aca="false">Bewertung!E52</f>
        <v>5</v>
      </c>
      <c r="F104" s="4" t="n">
        <f aca="false">Bewertung!I52</f>
        <v>3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customFormat="false" ht="15" hidden="false" customHeight="false" outlineLevel="0" collapsed="false">
      <c r="A105" s="5" t="n">
        <f aca="false">Bewertung!A53</f>
        <v>52</v>
      </c>
      <c r="B105" s="4" t="n">
        <f aca="false">Bewertung!B53</f>
        <v>3</v>
      </c>
      <c r="C105" s="4" t="n">
        <f aca="false">Bewertung!C53</f>
        <v>3</v>
      </c>
      <c r="D105" s="4" t="n">
        <f aca="false">Bewertung!D53</f>
        <v>5</v>
      </c>
      <c r="E105" s="4" t="n">
        <f aca="false">Bewertung!E53</f>
        <v>5</v>
      </c>
      <c r="F105" s="4" t="n">
        <f aca="false">Bewertung!I53</f>
        <v>4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customFormat="false" ht="15" hidden="false" customHeight="false" outlineLevel="0" collapsed="false">
      <c r="A106" s="5" t="n">
        <f aca="false">Bewertung!A54</f>
        <v>53</v>
      </c>
      <c r="B106" s="4" t="n">
        <f aca="false">Bewertung!B54</f>
        <v>3</v>
      </c>
      <c r="C106" s="4" t="n">
        <f aca="false">Bewertung!C54</f>
        <v>1</v>
      </c>
      <c r="D106" s="4" t="n">
        <f aca="false">Bewertung!D54</f>
        <v>3</v>
      </c>
      <c r="E106" s="4" t="n">
        <f aca="false">Bewertung!E54</f>
        <v>5</v>
      </c>
      <c r="F106" s="4" t="n">
        <f aca="false">Bewertung!I54</f>
        <v>3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customFormat="false" ht="15" hidden="false" customHeight="false" outlineLevel="0" collapsed="false">
      <c r="A107" s="5" t="n">
        <f aca="false">Bewertung!A55</f>
        <v>54</v>
      </c>
      <c r="B107" s="4" t="n">
        <f aca="false">Bewertung!B55</f>
        <v>3</v>
      </c>
      <c r="C107" s="4" t="n">
        <f aca="false">Bewertung!C55</f>
        <v>4</v>
      </c>
      <c r="D107" s="4" t="n">
        <f aca="false">Bewertung!D55</f>
        <v>2</v>
      </c>
      <c r="E107" s="4" t="n">
        <f aca="false">Bewertung!E55</f>
        <v>4</v>
      </c>
      <c r="F107" s="4" t="n">
        <f aca="false">Bewertung!I55</f>
        <v>3.25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customFormat="false" ht="15" hidden="false" customHeight="false" outlineLevel="0" collapsed="false">
      <c r="A108" s="5" t="n">
        <f aca="false">Bewertung!A56</f>
        <v>55</v>
      </c>
      <c r="B108" s="4" t="n">
        <f aca="false">Bewertung!B56</f>
        <v>5</v>
      </c>
      <c r="C108" s="4" t="n">
        <f aca="false">Bewertung!C56</f>
        <v>5</v>
      </c>
      <c r="D108" s="4" t="n">
        <f aca="false">Bewertung!D56</f>
        <v>2</v>
      </c>
      <c r="E108" s="4" t="n">
        <f aca="false">Bewertung!E56</f>
        <v>5</v>
      </c>
      <c r="F108" s="4" t="n">
        <f aca="false">Bewertung!I56</f>
        <v>4.25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customFormat="false" ht="15" hidden="false" customHeight="false" outlineLevel="0" collapsed="false">
      <c r="A109" s="5" t="n">
        <f aca="false">Bewertung!A57</f>
        <v>56</v>
      </c>
      <c r="B109" s="4" t="n">
        <f aca="false">Bewertung!B57</f>
        <v>5</v>
      </c>
      <c r="C109" s="4" t="n">
        <f aca="false">Bewertung!C57</f>
        <v>5</v>
      </c>
      <c r="D109" s="4" t="n">
        <f aca="false">Bewertung!D57</f>
        <v>2</v>
      </c>
      <c r="E109" s="4" t="n">
        <f aca="false">Bewertung!E57</f>
        <v>5</v>
      </c>
      <c r="F109" s="4" t="n">
        <f aca="false">Bewertung!I57</f>
        <v>4.25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customFormat="false" ht="15" hidden="false" customHeight="false" outlineLevel="0" collapsed="false">
      <c r="A110" s="5" t="n">
        <f aca="false">Bewertung!A58</f>
        <v>57</v>
      </c>
      <c r="B110" s="4" t="n">
        <f aca="false">Bewertung!B58</f>
        <v>3</v>
      </c>
      <c r="C110" s="4" t="n">
        <f aca="false">Bewertung!C58</f>
        <v>3</v>
      </c>
      <c r="D110" s="4" t="n">
        <f aca="false">Bewertung!D58</f>
        <v>4</v>
      </c>
      <c r="E110" s="4" t="n">
        <f aca="false">Bewertung!E58</f>
        <v>5</v>
      </c>
      <c r="F110" s="4" t="n">
        <f aca="false">Bewertung!I58</f>
        <v>3.75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customFormat="false" ht="15" hidden="false" customHeight="false" outlineLevel="0" collapsed="false">
      <c r="A111" s="5" t="n">
        <f aca="false">Bewertung!A59</f>
        <v>58</v>
      </c>
      <c r="B111" s="4" t="n">
        <f aca="false">Bewertung!B59</f>
        <v>2</v>
      </c>
      <c r="C111" s="4" t="n">
        <f aca="false">Bewertung!C59</f>
        <v>3</v>
      </c>
      <c r="D111" s="4" t="n">
        <f aca="false">Bewertung!D59</f>
        <v>3</v>
      </c>
      <c r="E111" s="4" t="n">
        <f aca="false">Bewertung!E59</f>
        <v>5</v>
      </c>
      <c r="F111" s="4" t="n">
        <f aca="false">Bewertung!I59</f>
        <v>3.25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customFormat="false" ht="15" hidden="false" customHeight="false" outlineLevel="0" collapsed="false">
      <c r="A112" s="5" t="n">
        <f aca="false">Bewertung!A60</f>
        <v>59</v>
      </c>
      <c r="B112" s="4" t="n">
        <f aca="false">Bewertung!B60</f>
        <v>5</v>
      </c>
      <c r="C112" s="4" t="n">
        <f aca="false">Bewertung!C60</f>
        <v>5</v>
      </c>
      <c r="D112" s="4" t="n">
        <f aca="false">Bewertung!D60</f>
        <v>3</v>
      </c>
      <c r="E112" s="4" t="n">
        <f aca="false">Bewertung!E60</f>
        <v>4</v>
      </c>
      <c r="F112" s="4" t="n">
        <f aca="false">Bewertung!I60</f>
        <v>4.25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customFormat="false" ht="15" hidden="false" customHeight="false" outlineLevel="0" collapsed="false">
      <c r="A113" s="5" t="n">
        <f aca="false">Bewertung!A61</f>
        <v>60</v>
      </c>
      <c r="B113" s="4" t="n">
        <f aca="false">Bewertung!B61</f>
        <v>3</v>
      </c>
      <c r="C113" s="4" t="n">
        <f aca="false">Bewertung!C61</f>
        <v>4</v>
      </c>
      <c r="D113" s="4" t="n">
        <f aca="false">Bewertung!D61</f>
        <v>4</v>
      </c>
      <c r="E113" s="4" t="n">
        <f aca="false">Bewertung!E61</f>
        <v>5</v>
      </c>
      <c r="F113" s="4" t="n">
        <f aca="false">Bewertung!I61</f>
        <v>4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customFormat="false" ht="15" hidden="false" customHeight="false" outlineLevel="0" collapsed="false">
      <c r="A114" s="5" t="n">
        <f aca="false">Bewertung!A62</f>
        <v>61</v>
      </c>
      <c r="B114" s="4" t="n">
        <f aca="false">Bewertung!B62</f>
        <v>3</v>
      </c>
      <c r="C114" s="4" t="n">
        <f aca="false">Bewertung!C62</f>
        <v>3</v>
      </c>
      <c r="D114" s="4" t="n">
        <f aca="false">Bewertung!D62</f>
        <v>2</v>
      </c>
      <c r="E114" s="4" t="n">
        <f aca="false">Bewertung!E62</f>
        <v>5</v>
      </c>
      <c r="F114" s="4" t="n">
        <f aca="false">Bewertung!I62</f>
        <v>3.25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customFormat="false" ht="15" hidden="false" customHeight="false" outlineLevel="0" collapsed="false">
      <c r="A115" s="5" t="n">
        <f aca="false">Bewertung!A63</f>
        <v>62</v>
      </c>
      <c r="B115" s="4" t="n">
        <f aca="false">Bewertung!B63</f>
        <v>4</v>
      </c>
      <c r="C115" s="4" t="n">
        <f aca="false">Bewertung!C63</f>
        <v>5</v>
      </c>
      <c r="D115" s="4" t="n">
        <f aca="false">Bewertung!D63</f>
        <v>2</v>
      </c>
      <c r="E115" s="4" t="n">
        <f aca="false">Bewertung!E63</f>
        <v>5</v>
      </c>
      <c r="F115" s="4" t="n">
        <f aca="false">Bewertung!I63</f>
        <v>4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customFormat="false" ht="15" hidden="false" customHeight="false" outlineLevel="0" collapsed="false">
      <c r="A116" s="5" t="n">
        <f aca="false">Bewertung!A64</f>
        <v>63</v>
      </c>
      <c r="B116" s="4" t="n">
        <f aca="false">Bewertung!B64</f>
        <v>5</v>
      </c>
      <c r="C116" s="4" t="n">
        <f aca="false">Bewertung!C64</f>
        <v>5</v>
      </c>
      <c r="D116" s="4" t="n">
        <f aca="false">Bewertung!D64</f>
        <v>3</v>
      </c>
      <c r="E116" s="4" t="n">
        <f aca="false">Bewertung!E64</f>
        <v>5</v>
      </c>
      <c r="F116" s="4" t="n">
        <f aca="false">Bewertung!I64</f>
        <v>4.5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customFormat="false" ht="15" hidden="false" customHeight="false" outlineLevel="0" collapsed="false">
      <c r="A117" s="5" t="n">
        <f aca="false">Bewertung!A65</f>
        <v>64</v>
      </c>
      <c r="B117" s="4" t="n">
        <f aca="false">Bewertung!B65</f>
        <v>3</v>
      </c>
      <c r="C117" s="4" t="n">
        <f aca="false">Bewertung!C65</f>
        <v>4</v>
      </c>
      <c r="D117" s="4" t="n">
        <f aca="false">Bewertung!D65</f>
        <v>5</v>
      </c>
      <c r="E117" s="4" t="n">
        <f aca="false">Bewertung!E65</f>
        <v>5</v>
      </c>
      <c r="F117" s="4" t="n">
        <f aca="false">Bewertung!I65</f>
        <v>4.25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customFormat="false" ht="15" hidden="false" customHeight="false" outlineLevel="0" collapsed="false">
      <c r="A118" s="5" t="n">
        <f aca="false">Bewertung!A66</f>
        <v>65</v>
      </c>
      <c r="B118" s="4" t="n">
        <f aca="false">Bewertung!B66</f>
        <v>2</v>
      </c>
      <c r="C118" s="4" t="n">
        <f aca="false">Bewertung!C66</f>
        <v>3</v>
      </c>
      <c r="D118" s="4" t="n">
        <f aca="false">Bewertung!D66</f>
        <v>5</v>
      </c>
      <c r="E118" s="4" t="n">
        <f aca="false">Bewertung!E66</f>
        <v>5</v>
      </c>
      <c r="F118" s="4" t="n">
        <f aca="false">Bewertung!I66</f>
        <v>3.75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customFormat="false" ht="15" hidden="false" customHeight="false" outlineLevel="0" collapsed="false">
      <c r="A119" s="5" t="n">
        <f aca="false">Bewertung!A67</f>
        <v>66</v>
      </c>
      <c r="B119" s="4" t="n">
        <f aca="false">Bewertung!B67</f>
        <v>5</v>
      </c>
      <c r="C119" s="4" t="n">
        <f aca="false">Bewertung!C67</f>
        <v>4</v>
      </c>
      <c r="D119" s="4" t="n">
        <f aca="false">Bewertung!D67</f>
        <v>4</v>
      </c>
      <c r="E119" s="4" t="n">
        <f aca="false">Bewertung!E67</f>
        <v>5</v>
      </c>
      <c r="F119" s="4" t="n">
        <f aca="false">Bewertung!I67</f>
        <v>4.5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customFormat="false" ht="15" hidden="false" customHeight="false" outlineLevel="0" collapsed="false">
      <c r="A120" s="5" t="n">
        <f aca="false">Bewertung!A68</f>
        <v>67</v>
      </c>
      <c r="B120" s="4" t="n">
        <f aca="false">Bewertung!B68</f>
        <v>3</v>
      </c>
      <c r="C120" s="4" t="n">
        <f aca="false">Bewertung!C68</f>
        <v>4</v>
      </c>
      <c r="D120" s="4" t="n">
        <f aca="false">Bewertung!D68</f>
        <v>5</v>
      </c>
      <c r="E120" s="4" t="n">
        <f aca="false">Bewertung!E68</f>
        <v>5</v>
      </c>
      <c r="F120" s="4" t="n">
        <f aca="false">Bewertung!I68</f>
        <v>4.25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customFormat="false" ht="15" hidden="false" customHeight="false" outlineLevel="0" collapsed="false">
      <c r="A121" s="5" t="n">
        <f aca="false">Bewertung!A69</f>
        <v>68</v>
      </c>
      <c r="B121" s="4" t="n">
        <f aca="false">Bewertung!B69</f>
        <v>4</v>
      </c>
      <c r="C121" s="4" t="n">
        <f aca="false">Bewertung!C69</f>
        <v>4</v>
      </c>
      <c r="D121" s="4" t="n">
        <f aca="false">Bewertung!D69</f>
        <v>4</v>
      </c>
      <c r="E121" s="4" t="n">
        <f aca="false">Bewertung!E69</f>
        <v>5</v>
      </c>
      <c r="F121" s="4" t="n">
        <f aca="false">Bewertung!I69</f>
        <v>4.25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customFormat="false" ht="15" hidden="false" customHeight="false" outlineLevel="0" collapsed="false">
      <c r="A122" s="5" t="n">
        <f aca="false">Bewertung!A70</f>
        <v>69</v>
      </c>
      <c r="B122" s="4" t="n">
        <f aca="false">Bewertung!B70</f>
        <v>5</v>
      </c>
      <c r="C122" s="4" t="n">
        <f aca="false">Bewertung!C70</f>
        <v>5</v>
      </c>
      <c r="D122" s="4" t="n">
        <f aca="false">Bewertung!D70</f>
        <v>4</v>
      </c>
      <c r="E122" s="4" t="n">
        <f aca="false">Bewertung!E70</f>
        <v>5</v>
      </c>
      <c r="F122" s="4" t="n">
        <f aca="false">Bewertung!I70</f>
        <v>4.75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customFormat="false" ht="15" hidden="false" customHeight="false" outlineLevel="0" collapsed="false">
      <c r="A123" s="5" t="n">
        <f aca="false">Bewertung!A71</f>
        <v>70</v>
      </c>
      <c r="B123" s="4" t="n">
        <f aca="false">Bewertung!B71</f>
        <v>5</v>
      </c>
      <c r="C123" s="4" t="n">
        <f aca="false">Bewertung!C71</f>
        <v>4</v>
      </c>
      <c r="D123" s="4" t="n">
        <f aca="false">Bewertung!D71</f>
        <v>5</v>
      </c>
      <c r="E123" s="4" t="n">
        <f aca="false">Bewertung!E71</f>
        <v>5</v>
      </c>
      <c r="F123" s="4" t="n">
        <f aca="false">Bewertung!I71</f>
        <v>4.75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customFormat="false" ht="15" hidden="false" customHeight="false" outlineLevel="0" collapsed="false">
      <c r="A124" s="5" t="n">
        <f aca="false">Bewertung!A72</f>
        <v>71</v>
      </c>
      <c r="B124" s="4" t="n">
        <f aca="false">Bewertung!B72</f>
        <v>2</v>
      </c>
      <c r="C124" s="4" t="n">
        <f aca="false">Bewertung!C72</f>
        <v>2</v>
      </c>
      <c r="D124" s="4" t="n">
        <f aca="false">Bewertung!D72</f>
        <v>2</v>
      </c>
      <c r="E124" s="4" t="n">
        <f aca="false">Bewertung!E72</f>
        <v>4</v>
      </c>
      <c r="F124" s="4" t="n">
        <f aca="false">Bewertung!I72</f>
        <v>2.5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customFormat="false" ht="15" hidden="false" customHeight="false" outlineLevel="0" collapsed="false">
      <c r="A125" s="5" t="n">
        <f aca="false">Bewertung!A73</f>
        <v>72</v>
      </c>
      <c r="B125" s="4" t="n">
        <f aca="false">Bewertung!B73</f>
        <v>4</v>
      </c>
      <c r="C125" s="4" t="n">
        <f aca="false">Bewertung!C73</f>
        <v>5</v>
      </c>
      <c r="D125" s="4" t="n">
        <f aca="false">Bewertung!D73</f>
        <v>3</v>
      </c>
      <c r="E125" s="4" t="n">
        <f aca="false">Bewertung!E73</f>
        <v>5</v>
      </c>
      <c r="F125" s="4" t="n">
        <f aca="false">Bewertung!I73</f>
        <v>4.25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customFormat="false" ht="15" hidden="false" customHeight="false" outlineLevel="0" collapsed="false">
      <c r="A126" s="5" t="n">
        <f aca="false">Bewertung!A74</f>
        <v>73</v>
      </c>
      <c r="B126" s="4" t="n">
        <f aca="false">Bewertung!B74</f>
        <v>3</v>
      </c>
      <c r="C126" s="4" t="n">
        <f aca="false">Bewertung!C74</f>
        <v>3</v>
      </c>
      <c r="D126" s="4" t="n">
        <f aca="false">Bewertung!D74</f>
        <v>5</v>
      </c>
      <c r="E126" s="4" t="n">
        <f aca="false">Bewertung!E74</f>
        <v>5</v>
      </c>
      <c r="F126" s="4" t="n">
        <f aca="false">Bewertung!I74</f>
        <v>4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customFormat="false" ht="15" hidden="false" customHeight="false" outlineLevel="0" collapsed="false">
      <c r="A127" s="5" t="n">
        <f aca="false">Bewertung!A75</f>
        <v>74</v>
      </c>
      <c r="B127" s="4" t="n">
        <f aca="false">Bewertung!B75</f>
        <v>1</v>
      </c>
      <c r="C127" s="4" t="n">
        <f aca="false">Bewertung!C75</f>
        <v>3</v>
      </c>
      <c r="D127" s="4" t="n">
        <f aca="false">Bewertung!D75</f>
        <v>2</v>
      </c>
      <c r="E127" s="4" t="n">
        <f aca="false">Bewertung!E75</f>
        <v>4</v>
      </c>
      <c r="F127" s="4" t="n">
        <f aca="false">Bewertung!I75</f>
        <v>2.5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customFormat="false" ht="15" hidden="false" customHeight="false" outlineLevel="0" collapsed="false">
      <c r="A128" s="5" t="n">
        <f aca="false">Bewertung!A76</f>
        <v>75</v>
      </c>
      <c r="B128" s="4" t="n">
        <f aca="false">Bewertung!B76</f>
        <v>0</v>
      </c>
      <c r="C128" s="4" t="n">
        <f aca="false">Bewertung!C76</f>
        <v>3</v>
      </c>
      <c r="D128" s="4" t="n">
        <f aca="false">Bewertung!D76</f>
        <v>4</v>
      </c>
      <c r="E128" s="4" t="n">
        <f aca="false">Bewertung!E76</f>
        <v>5</v>
      </c>
      <c r="F128" s="4" t="n">
        <f aca="false">Bewertung!I76</f>
        <v>3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customFormat="false" ht="15" hidden="false" customHeight="false" outlineLevel="0" collapsed="false">
      <c r="A129" s="5" t="n">
        <f aca="false">Bewertung!A77</f>
        <v>76</v>
      </c>
      <c r="B129" s="4" t="n">
        <f aca="false">Bewertung!B77</f>
        <v>3</v>
      </c>
      <c r="C129" s="4" t="n">
        <f aca="false">Bewertung!C77</f>
        <v>3</v>
      </c>
      <c r="D129" s="4" t="n">
        <f aca="false">Bewertung!D77</f>
        <v>3</v>
      </c>
      <c r="E129" s="4" t="n">
        <f aca="false">Bewertung!E77</f>
        <v>4</v>
      </c>
      <c r="F129" s="4" t="n">
        <f aca="false">Bewertung!I77</f>
        <v>3.25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customFormat="false" ht="15" hidden="false" customHeight="false" outlineLevel="0" collapsed="false">
      <c r="A130" s="5" t="n">
        <f aca="false">Bewertung!A78</f>
        <v>77</v>
      </c>
      <c r="B130" s="4" t="n">
        <f aca="false">Bewertung!B78</f>
        <v>4</v>
      </c>
      <c r="C130" s="4" t="n">
        <f aca="false">Bewertung!C78</f>
        <v>4</v>
      </c>
      <c r="D130" s="4" t="n">
        <f aca="false">Bewertung!D78</f>
        <v>1</v>
      </c>
      <c r="E130" s="4" t="n">
        <f aca="false">Bewertung!E78</f>
        <v>5</v>
      </c>
      <c r="F130" s="4" t="n">
        <f aca="false">Bewertung!I78</f>
        <v>3.5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LibreOffice/25.8.3.2$MacOSX_X86_64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2026-08-09T22:37:58Z</dcterms:modified>
  <cp:revision>1</cp:revision>
  <dc:subject/>
  <dc:title/>
</cp:coreProperties>
</file>